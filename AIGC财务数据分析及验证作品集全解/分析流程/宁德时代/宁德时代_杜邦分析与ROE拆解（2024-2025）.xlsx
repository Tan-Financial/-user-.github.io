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杜邦分析与ROE拆解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<sst xmlns="http://schemas.openxmlformats.org/spreadsheetml/2006/main" count="93" uniqueCount="93">
  <si>
    <t xml:space="preserve">  </t>
  </si>
  <si>
    <t/>
    <r>
      <rPr>
        <b val="true"/>
        <i val="false"/>
        <strike val="false"/>
        <sz val="14"/>
        <color rgb="FFFFFFFF"/>
        <rFont val="Noto Sans CJK SC"/>
      </rPr>
      <t xml:space="preserve">宁德时代 杜邦分析与 </t>
    </r>
    <r>
      <rPr>
        <b val="true"/>
        <i val="false"/>
        <strike val="false"/>
        <sz val="14"/>
        <color rgb="FFFFFFFF"/>
        <rFont val="Calibri"/>
      </rPr>
      <t xml:space="preserve">ROE </t>
    </r>
    <r>
      <rPr>
        <b val="true"/>
        <i val="false"/>
        <strike val="false"/>
        <sz val="14"/>
        <color rgb="FFFFFFFF"/>
        <rFont val="Noto Sans CJK SC"/>
      </rPr>
      <t>变动拆解（</t>
    </r>
    <r>
      <rPr>
        <b val="true"/>
        <i val="false"/>
        <strike val="false"/>
        <sz val="14"/>
        <color rgb="FFFFFFFF"/>
        <rFont val="Calibri"/>
      </rPr>
      <t>2024-2025</t>
    </r>
    <r>
      <rPr>
        <b val="true"/>
        <i val="false"/>
        <strike val="false"/>
        <sz val="14"/>
        <color rgb="FFFFFFFF"/>
        <rFont val="Noto Sans CJK SC"/>
      </rPr>
      <t>）</t>
    </r>
  </si>
  <si>
    <t/>
    <r>
      <rPr>
        <b val="false"/>
        <i val="true"/>
        <strike val="false"/>
        <sz val="9"/>
        <color rgb="FF666666"/>
        <rFont val="Noto Sans CJK SC"/>
      </rPr>
      <t>单位：亿元人民币｜数据来源：</t>
    </r>
    <r>
      <rPr>
        <b val="false"/>
        <i val="true"/>
        <strike val="false"/>
        <sz val="9"/>
        <color rgb="FF666666"/>
        <rFont val="Calibri"/>
      </rPr>
      <t>2024</t>
    </r>
    <r>
      <rPr>
        <b val="false"/>
        <i val="true"/>
        <strike val="false"/>
        <sz val="9"/>
        <color rgb="FF666666"/>
        <rFont val="Noto Sans CJK SC"/>
      </rPr>
      <t>、</t>
    </r>
    <r>
      <rPr>
        <b val="false"/>
        <i val="true"/>
        <strike val="false"/>
        <sz val="9"/>
        <color rgb="FF666666"/>
        <rFont val="Calibri"/>
      </rPr>
      <t>2025</t>
    </r>
    <r>
      <rPr>
        <b val="false"/>
        <i val="true"/>
        <strike val="false"/>
        <sz val="9"/>
        <color rgb="FF666666"/>
        <rFont val="Noto Sans CJK SC"/>
      </rPr>
      <t>年年度报告经审计合并财务报表｜蓝色单元格为可修改输入，其余为公式自动计算</t>
    </r>
  </si>
  <si>
    <t xml:space="preserve">原始输入数据（蓝色为可修改输入项）</t>
  </si>
  <si>
    <t xml:space="preserve">项目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</si>
  <si>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</si>
  <si>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</t>
    </r>
  </si>
  <si>
    <t xml:space="preserve">变动额</t>
  </si>
  <si>
    <t/>
    <r>
      <rPr>
        <b val="true"/>
        <i val="false"/>
        <strike val="false"/>
        <sz val="10"/>
        <color rgb="FF000000"/>
        <rFont val="Noto Sans CJK SC"/>
      </rPr>
      <t>变动</t>
    </r>
    <r>
      <rPr>
        <b val="true"/>
        <i val="false"/>
        <strike val="false"/>
        <sz val="10"/>
        <color rgb="FF000000"/>
        <rFont val="Calibri"/>
      </rPr>
      <t>%</t>
    </r>
  </si>
  <si>
    <t xml:space="preserve">备注</t>
  </si>
  <si>
    <t xml:space="preserve">归母净利润</t>
  </si>
  <si>
    <t xml:space="preserve">年报利润表</t>
  </si>
  <si>
    <t xml:space="preserve">营业收入</t>
  </si>
  <si>
    <t xml:space="preserve">总资产</t>
  </si>
  <si>
    <t xml:space="preserve">年报资产负债表</t>
  </si>
  <si>
    <t xml:space="preserve">归母净资产</t>
  </si>
  <si>
    <t xml:space="preserve">一、杜邦分析三项核心指标</t>
  </si>
  <si>
    <t xml:space="preserve">指标</t>
  </si>
  <si>
    <t xml:space="preserve">公式</t>
  </si>
  <si>
    <t xml:space="preserve">变动</t>
  </si>
  <si>
    <t xml:space="preserve">说明</t>
  </si>
  <si>
    <t xml:space="preserve">净利率</t>
  </si>
  <si>
    <t/>
    <r>
      <rPr>
        <b val="false"/>
        <i val="true"/>
        <strike val="false"/>
        <sz val="10"/>
        <color rgb="FF808080"/>
        <rFont val="Noto Sans CJK SC"/>
      </rPr>
      <t xml:space="preserve">归母净利润 </t>
    </r>
    <r>
      <rPr>
        <b val="false"/>
        <i val="true"/>
        <strike val="false"/>
        <sz val="10"/>
        <color rgb="FF808080"/>
        <rFont val="Calibri"/>
      </rPr>
      <t xml:space="preserve">/ </t>
    </r>
    <r>
      <rPr>
        <b val="false"/>
        <i val="true"/>
        <strike val="false"/>
        <sz val="10"/>
        <color rgb="FF808080"/>
        <rFont val="Noto Sans CJK SC"/>
      </rPr>
      <t>营业收入</t>
    </r>
  </si>
  <si>
    <t xml:space="preserve">盈利能力指标</t>
  </si>
  <si>
    <t xml:space="preserve">总资产周转率</t>
  </si>
  <si>
    <t/>
    <r>
      <rPr>
        <b val="false"/>
        <i val="true"/>
        <strike val="false"/>
        <sz val="10"/>
        <color rgb="FF808080"/>
        <rFont val="Noto Sans CJK SC"/>
      </rPr>
      <t xml:space="preserve">营业收入 </t>
    </r>
    <r>
      <rPr>
        <b val="false"/>
        <i val="true"/>
        <strike val="false"/>
        <sz val="10"/>
        <color rgb="FF808080"/>
        <rFont val="Calibri"/>
      </rPr>
      <t xml:space="preserve">/ </t>
    </r>
    <r>
      <rPr>
        <b val="false"/>
        <i val="true"/>
        <strike val="false"/>
        <sz val="10"/>
        <color rgb="FF808080"/>
        <rFont val="Noto Sans CJK SC"/>
      </rPr>
      <t>总资产</t>
    </r>
  </si>
  <si>
    <t xml:space="preserve">营运效率指标（次）</t>
  </si>
  <si>
    <t xml:space="preserve">权益乘数</t>
  </si>
  <si>
    <t/>
    <r>
      <rPr>
        <b val="false"/>
        <i val="true"/>
        <strike val="false"/>
        <sz val="10"/>
        <color rgb="FF808080"/>
        <rFont val="Noto Sans CJK SC"/>
      </rPr>
      <t xml:space="preserve">总资产 </t>
    </r>
    <r>
      <rPr>
        <b val="false"/>
        <i val="true"/>
        <strike val="false"/>
        <sz val="10"/>
        <color rgb="FF808080"/>
        <rFont val="Calibri"/>
      </rPr>
      <t xml:space="preserve">/ </t>
    </r>
    <r>
      <rPr>
        <b val="false"/>
        <i val="true"/>
        <strike val="false"/>
        <sz val="10"/>
        <color rgb="FF808080"/>
        <rFont val="Noto Sans CJK SC"/>
      </rPr>
      <t>归母净资产</t>
    </r>
  </si>
  <si>
    <t xml:space="preserve">财务杠杆指标（倍）</t>
  </si>
  <si>
    <t/>
    <r>
      <rPr>
        <b val="true"/>
        <i val="false"/>
        <strike val="false"/>
        <sz val="10"/>
        <color rgb="FF000000"/>
        <rFont val="Calibri"/>
      </rPr>
      <t>ROE</t>
    </r>
    <r>
      <rPr>
        <b val="true"/>
        <i val="false"/>
        <strike val="false"/>
        <sz val="10"/>
        <color rgb="FF000000"/>
        <rFont val="Noto Sans CJK SC"/>
      </rPr>
      <t>（杜邦计算）</t>
    </r>
  </si>
  <si>
    <t/>
    <r>
      <rPr>
        <b val="false"/>
        <i val="true"/>
        <strike val="false"/>
        <sz val="10"/>
        <color rgb="FF808080"/>
        <rFont val="Noto Sans CJK SC"/>
      </rPr>
      <t xml:space="preserve">净利率 </t>
    </r>
    <r>
      <rPr>
        <b val="false"/>
        <i val="true"/>
        <strike val="false"/>
        <sz val="10"/>
        <color rgb="FF808080"/>
        <rFont val="Calibri"/>
      </rPr>
      <t xml:space="preserve">× </t>
    </r>
    <r>
      <rPr>
        <b val="false"/>
        <i val="true"/>
        <strike val="false"/>
        <sz val="10"/>
        <color rgb="FF808080"/>
        <rFont val="Noto Sans CJK SC"/>
      </rPr>
      <t xml:space="preserve">周转率 </t>
    </r>
    <r>
      <rPr>
        <b val="false"/>
        <i val="true"/>
        <strike val="false"/>
        <sz val="10"/>
        <color rgb="FF808080"/>
        <rFont val="Calibri"/>
      </rPr>
      <t xml:space="preserve">× </t>
    </r>
    <r>
      <rPr>
        <b val="false"/>
        <i val="true"/>
        <strike val="false"/>
        <sz val="10"/>
        <color rgb="FF808080"/>
        <rFont val="Noto Sans CJK SC"/>
      </rPr>
      <t>权益乘数</t>
    </r>
  </si>
  <si>
    <t/>
    <r>
      <rPr>
        <b val="false"/>
        <i val="true"/>
        <strike val="false"/>
        <sz val="10"/>
        <color rgb="FF808080"/>
        <rFont val="Noto Sans CJK SC"/>
      </rPr>
      <t>采用年末净资产计算；与年报加权平均</t>
    </r>
    <r>
      <rPr>
        <b val="false"/>
        <i val="true"/>
        <strike val="false"/>
        <sz val="10"/>
        <color rgb="FF808080"/>
        <rFont val="Calibri"/>
      </rPr>
      <t>ROE</t>
    </r>
    <r>
      <rPr>
        <b val="false"/>
        <i val="true"/>
        <strike val="false"/>
        <sz val="10"/>
        <color rgb="FF808080"/>
        <rFont val="Noto Sans CJK SC"/>
      </rPr>
      <t>口径不同</t>
    </r>
  </si>
  <si>
    <t/>
    <r>
      <rPr>
        <b val="false"/>
        <i val="false"/>
        <strike val="false"/>
        <sz val="9"/>
        <color rgb="FF333333"/>
        <rFont val="Noto Sans CJK SC"/>
      </rPr>
      <t>注：杜邦</t>
    </r>
    <r>
      <rPr>
        <b val="false"/>
        <i val="false"/>
        <strike val="false"/>
        <sz val="9"/>
        <color rgb="FF333333"/>
        <rFont val="Calibri"/>
      </rPr>
      <t>ROE</t>
    </r>
    <r>
      <rPr>
        <b val="false"/>
        <i val="false"/>
        <strike val="false"/>
        <sz val="9"/>
        <color rgb="FF333333"/>
        <rFont val="Noto Sans CJK SC"/>
      </rPr>
      <t>（年末口径）</t>
    </r>
    <r>
      <rPr>
        <b val="false"/>
        <i val="false"/>
        <strike val="false"/>
        <sz val="9"/>
        <color rgb="FF333333"/>
        <rFont val="Calibri"/>
      </rPr>
      <t>2024≈20.55%</t>
    </r>
    <r>
      <rPr>
        <b val="false"/>
        <i val="false"/>
        <strike val="false"/>
        <sz val="9"/>
        <color rgb="FF333333"/>
        <rFont val="Noto Sans CJK SC"/>
      </rPr>
      <t>、</t>
    </r>
    <r>
      <rPr>
        <b val="false"/>
        <i val="false"/>
        <strike val="false"/>
        <sz val="9"/>
        <color rgb="FF333333"/>
        <rFont val="Calibri"/>
      </rPr>
      <t>2025≈21.42%</t>
    </r>
    <r>
      <rPr>
        <b val="false"/>
        <i val="false"/>
        <strike val="false"/>
        <sz val="9"/>
        <color rgb="FF333333"/>
        <rFont val="Noto Sans CJK SC"/>
      </rPr>
      <t>；年报披露加权平均</t>
    </r>
    <r>
      <rPr>
        <b val="false"/>
        <i val="false"/>
        <strike val="false"/>
        <sz val="9"/>
        <color rgb="FF333333"/>
        <rFont val="Calibri"/>
      </rPr>
      <t>ROE</t>
    </r>
    <r>
      <rPr>
        <b val="false"/>
        <i val="false"/>
        <strike val="false"/>
        <sz val="9"/>
        <color rgb="FF333333"/>
        <rFont val="Noto Sans CJK SC"/>
      </rPr>
      <t>为</t>
    </r>
    <r>
      <rPr>
        <b val="false"/>
        <i val="false"/>
        <strike val="false"/>
        <sz val="9"/>
        <color rgb="FF333333"/>
        <rFont val="Calibri"/>
      </rPr>
      <t>24.13%</t>
    </r>
    <r>
      <rPr>
        <b val="false"/>
        <i val="false"/>
        <strike val="false"/>
        <sz val="9"/>
        <color rgb="FF333333"/>
        <rFont val="Noto Sans CJK SC"/>
      </rPr>
      <t>、</t>
    </r>
    <r>
      <rPr>
        <b val="false"/>
        <i val="false"/>
        <strike val="false"/>
        <sz val="9"/>
        <color rgb="FF333333"/>
        <rFont val="Calibri"/>
      </rPr>
      <t>24.91%</t>
    </r>
    <r>
      <rPr>
        <b val="false"/>
        <i val="false"/>
        <strike val="false"/>
        <sz val="9"/>
        <color rgb="FF333333"/>
        <rFont val="Noto Sans CJK SC"/>
      </rPr>
      <t>。差异源于加权平均</t>
    </r>
    <r>
      <rPr>
        <b val="false"/>
        <i val="false"/>
        <strike val="false"/>
        <sz val="9"/>
        <color rgb="FF333333"/>
        <rFont val="Calibri"/>
      </rPr>
      <t>ROE</t>
    </r>
    <r>
      <rPr>
        <b val="false"/>
        <i val="false"/>
        <strike val="false"/>
        <sz val="9"/>
        <color rgb="FF333333"/>
        <rFont val="Noto Sans CJK SC"/>
      </rPr>
      <t>使用期间加权净资产而非年末时点净资产，趋势方向一致（均小幅上升）。</t>
    </r>
  </si>
  <si>
    <t/>
    <r>
      <rPr>
        <b val="true"/>
        <i val="false"/>
        <strike val="false"/>
        <sz val="11"/>
        <color rgb="FFFFFFFF"/>
        <rFont val="Noto Sans CJK SC"/>
      </rPr>
      <t xml:space="preserve">二、连锁替代法拆解 </t>
    </r>
    <r>
      <rPr>
        <b val="true"/>
        <i val="false"/>
        <strike val="false"/>
        <sz val="11"/>
        <color rgb="FFFFFFFF"/>
        <rFont val="Calibri"/>
      </rPr>
      <t xml:space="preserve">ROE </t>
    </r>
    <r>
      <rPr>
        <b val="true"/>
        <i val="false"/>
        <strike val="false"/>
        <sz val="11"/>
        <color rgb="FFFFFFFF"/>
        <rFont val="Noto Sans CJK SC"/>
      </rPr>
      <t xml:space="preserve">变动（以年末口径 </t>
    </r>
    <r>
      <rPr>
        <b val="true"/>
        <i val="false"/>
        <strike val="false"/>
        <sz val="11"/>
        <color rgb="FFFFFFFF"/>
        <rFont val="Calibri"/>
      </rPr>
      <t xml:space="preserve">ROE </t>
    </r>
    <r>
      <rPr>
        <b val="true"/>
        <i val="false"/>
        <strike val="false"/>
        <sz val="11"/>
        <color rgb="FFFFFFFF"/>
        <rFont val="Noto Sans CJK SC"/>
      </rPr>
      <t>为基准）</t>
    </r>
  </si>
  <si>
    <t xml:space="preserve">拆解步骤</t>
  </si>
  <si>
    <t xml:space="preserve">计算公式</t>
  </si>
  <si>
    <t/>
    <r>
      <rPr>
        <b val="true"/>
        <i val="false"/>
        <strike val="false"/>
        <sz val="10"/>
        <color rgb="FF000000"/>
        <rFont val="Noto Sans CJK SC"/>
      </rPr>
      <t>结果（</t>
    </r>
    <r>
      <rPr>
        <b val="true"/>
        <i val="false"/>
        <strike val="false"/>
        <sz val="10"/>
        <color rgb="FF000000"/>
        <rFont val="Calibri"/>
      </rPr>
      <t>p.p.</t>
    </r>
    <r>
      <rPr>
        <b val="true"/>
        <i val="false"/>
        <strike val="false"/>
        <sz val="10"/>
        <color rgb="FF000000"/>
        <rFont val="Noto Sans CJK SC"/>
      </rPr>
      <t>）</t>
    </r>
  </si>
  <si>
    <t/>
    <r>
      <rPr>
        <b val="true"/>
        <i val="false"/>
        <strike val="false"/>
        <sz val="10"/>
        <color rgb="FF000000"/>
        <rFont val="Calibri"/>
      </rPr>
      <t xml:space="preserve">Step 1</t>
    </r>
    <r>
      <rPr>
        <b val="true"/>
        <i val="false"/>
        <strike val="false"/>
        <sz val="10"/>
        <color rgb="FF000000"/>
        <rFont val="Noto Sans CJK SC"/>
      </rPr>
      <t>：</t>
    </r>
    <r>
      <rPr>
        <b val="true"/>
        <i val="false"/>
        <strike val="false"/>
        <sz val="10"/>
        <color rgb="FF000000"/>
        <rFont val="Calibri"/>
      </rPr>
      <t xml:space="preserve">ROE </t>
    </r>
    <r>
      <rPr>
        <b val="true"/>
        <i val="false"/>
        <strike val="false"/>
        <sz val="10"/>
        <color rgb="FF000000"/>
        <rFont val="Noto Sans CJK SC"/>
      </rPr>
      <t>总变动</t>
    </r>
  </si>
  <si>
    <t xml:space="preserve">ROE(2025) − ROE(2024)</t>
  </si>
  <si>
    <t xml:space="preserve">待拆解的总变动</t>
  </si>
  <si>
    <t xml:space="preserve">① 净利率变化的贡献</t>
  </si>
  <si>
    <t/>
    <r>
      <rPr>
        <b val="false"/>
        <i val="true"/>
        <strike val="false"/>
        <sz val="10"/>
        <color rgb="FF808080"/>
        <rFont val="Calibri"/>
      </rPr>
      <t>(</t>
    </r>
    <r>
      <rPr>
        <b val="false"/>
        <i val="true"/>
        <strike val="false"/>
        <sz val="10"/>
        <color rgb="FF808080"/>
        <rFont val="Noto Sans CJK SC"/>
      </rPr>
      <t>净利率</t>
    </r>
    <r>
      <rPr>
        <b val="false"/>
        <i val="true"/>
        <strike val="false"/>
        <sz val="10"/>
        <color rgb="FF808080"/>
        <rFont val="Calibri"/>
      </rPr>
      <t>25−</t>
    </r>
    <r>
      <rPr>
        <b val="false"/>
        <i val="true"/>
        <strike val="false"/>
        <sz val="10"/>
        <color rgb="FF808080"/>
        <rFont val="Noto Sans CJK SC"/>
      </rPr>
      <t>净利率</t>
    </r>
    <r>
      <rPr>
        <b val="false"/>
        <i val="true"/>
        <strike val="false"/>
        <sz val="10"/>
        <color rgb="FF808080"/>
        <rFont val="Calibri"/>
      </rPr>
      <t xml:space="preserve">24) × </t>
    </r>
    <r>
      <rPr>
        <b val="false"/>
        <i val="true"/>
        <strike val="false"/>
        <sz val="10"/>
        <color rgb="FF808080"/>
        <rFont val="Noto Sans CJK SC"/>
      </rPr>
      <t>周转率</t>
    </r>
    <r>
      <rPr>
        <b val="false"/>
        <i val="true"/>
        <strike val="false"/>
        <sz val="10"/>
        <color rgb="FF808080"/>
        <rFont val="Calibri"/>
      </rPr>
      <t xml:space="preserve">24 × </t>
    </r>
    <r>
      <rPr>
        <b val="false"/>
        <i val="true"/>
        <strike val="false"/>
        <sz val="10"/>
        <color rgb="FF808080"/>
        <rFont val="Noto Sans CJK SC"/>
      </rPr>
      <t>权益乘数</t>
    </r>
    <r>
      <rPr>
        <b val="false"/>
        <i val="true"/>
        <strike val="false"/>
        <sz val="10"/>
        <color rgb="FF808080"/>
        <rFont val="Calibri"/>
      </rPr>
      <t>24</t>
    </r>
  </si>
  <si>
    <t xml:space="preserve">盈利能力提升的正向贡献</t>
  </si>
  <si>
    <t xml:space="preserve">② 总资产周转率变化的贡献</t>
  </si>
  <si>
    <t/>
    <r>
      <rPr>
        <b val="false"/>
        <i val="true"/>
        <strike val="false"/>
        <sz val="10"/>
        <color rgb="FF808080"/>
        <rFont val="Noto Sans CJK SC"/>
      </rPr>
      <t>净利率</t>
    </r>
    <r>
      <rPr>
        <b val="false"/>
        <i val="true"/>
        <strike val="false"/>
        <sz val="10"/>
        <color rgb="FF808080"/>
        <rFont val="Calibri"/>
      </rPr>
      <t xml:space="preserve">25 × (</t>
    </r>
    <r>
      <rPr>
        <b val="false"/>
        <i val="true"/>
        <strike val="false"/>
        <sz val="10"/>
        <color rgb="FF808080"/>
        <rFont val="Noto Sans CJK SC"/>
      </rPr>
      <t>周转率</t>
    </r>
    <r>
      <rPr>
        <b val="false"/>
        <i val="true"/>
        <strike val="false"/>
        <sz val="10"/>
        <color rgb="FF808080"/>
        <rFont val="Calibri"/>
      </rPr>
      <t>25−</t>
    </r>
    <r>
      <rPr>
        <b val="false"/>
        <i val="true"/>
        <strike val="false"/>
        <sz val="10"/>
        <color rgb="FF808080"/>
        <rFont val="Noto Sans CJK SC"/>
      </rPr>
      <t>周转率</t>
    </r>
    <r>
      <rPr>
        <b val="false"/>
        <i val="true"/>
        <strike val="false"/>
        <sz val="10"/>
        <color rgb="FF808080"/>
        <rFont val="Calibri"/>
      </rPr>
      <t xml:space="preserve">24) × </t>
    </r>
    <r>
      <rPr>
        <b val="false"/>
        <i val="true"/>
        <strike val="false"/>
        <sz val="10"/>
        <color rgb="FF808080"/>
        <rFont val="Noto Sans CJK SC"/>
      </rPr>
      <t>权益乘数</t>
    </r>
    <r>
      <rPr>
        <b val="false"/>
        <i val="true"/>
        <strike val="false"/>
        <sz val="10"/>
        <color rgb="FF808080"/>
        <rFont val="Calibri"/>
      </rPr>
      <t>24</t>
    </r>
  </si>
  <si>
    <t xml:space="preserve">资产运营效率下降的负向拖累</t>
  </si>
  <si>
    <t xml:space="preserve">③ 权益乘数变化的贡献</t>
  </si>
  <si>
    <t/>
    <r>
      <rPr>
        <b val="false"/>
        <i val="true"/>
        <strike val="false"/>
        <sz val="10"/>
        <color rgb="FF808080"/>
        <rFont val="Noto Sans CJK SC"/>
      </rPr>
      <t>净利率</t>
    </r>
    <r>
      <rPr>
        <b val="false"/>
        <i val="true"/>
        <strike val="false"/>
        <sz val="10"/>
        <color rgb="FF808080"/>
        <rFont val="Calibri"/>
      </rPr>
      <t xml:space="preserve">25 × </t>
    </r>
    <r>
      <rPr>
        <b val="false"/>
        <i val="true"/>
        <strike val="false"/>
        <sz val="10"/>
        <color rgb="FF808080"/>
        <rFont val="Noto Sans CJK SC"/>
      </rPr>
      <t>周转率</t>
    </r>
    <r>
      <rPr>
        <b val="false"/>
        <i val="true"/>
        <strike val="false"/>
        <sz val="10"/>
        <color rgb="FF808080"/>
        <rFont val="Calibri"/>
      </rPr>
      <t xml:space="preserve">25 × (</t>
    </r>
    <r>
      <rPr>
        <b val="false"/>
        <i val="true"/>
        <strike val="false"/>
        <sz val="10"/>
        <color rgb="FF808080"/>
        <rFont val="Noto Sans CJK SC"/>
      </rPr>
      <t>权益乘数</t>
    </r>
    <r>
      <rPr>
        <b val="false"/>
        <i val="true"/>
        <strike val="false"/>
        <sz val="10"/>
        <color rgb="FF808080"/>
        <rFont val="Calibri"/>
      </rPr>
      <t>25−</t>
    </r>
    <r>
      <rPr>
        <b val="false"/>
        <i val="true"/>
        <strike val="false"/>
        <sz val="10"/>
        <color rgb="FF808080"/>
        <rFont val="Noto Sans CJK SC"/>
      </rPr>
      <t>权益乘数</t>
    </r>
    <r>
      <rPr>
        <b val="false"/>
        <i val="true"/>
        <strike val="false"/>
        <sz val="10"/>
        <color rgb="FF808080"/>
        <rFont val="Calibri"/>
      </rPr>
      <t>24)</t>
    </r>
  </si>
  <si>
    <t xml:space="preserve">主动降杠杆的负向拖累</t>
  </si>
  <si>
    <t xml:space="preserve">三、拆解结果验证（逻辑一致性校验）</t>
  </si>
  <si>
    <t xml:space="preserve">验证项</t>
  </si>
  <si>
    <t/>
    <r>
      <rPr>
        <b val="true"/>
        <i val="false"/>
        <strike val="false"/>
        <sz val="10"/>
        <color rgb="FF000000"/>
        <rFont val="Noto Sans CJK SC"/>
      </rPr>
      <t>数值（</t>
    </r>
    <r>
      <rPr>
        <b val="true"/>
        <i val="false"/>
        <strike val="false"/>
        <sz val="10"/>
        <color rgb="FF000000"/>
        <rFont val="Calibri"/>
      </rPr>
      <t>p.p.</t>
    </r>
    <r>
      <rPr>
        <b val="true"/>
        <i val="false"/>
        <strike val="false"/>
        <sz val="10"/>
        <color rgb="FF000000"/>
        <rFont val="Noto Sans CJK SC"/>
      </rPr>
      <t>）</t>
    </r>
  </si>
  <si>
    <t xml:space="preserve">判定</t>
  </si>
  <si>
    <t xml:space="preserve">净利率变化贡献</t>
  </si>
  <si>
    <t xml:space="preserve">总资产周转率变化贡献</t>
  </si>
  <si>
    <t xml:space="preserve">权益乘数变化贡献</t>
  </si>
  <si>
    <t xml:space="preserve">三者合计</t>
  </si>
  <si>
    <t/>
    <r>
      <rPr>
        <b val="false"/>
        <i val="true"/>
        <strike val="false"/>
        <sz val="10"/>
        <color rgb="FF808080"/>
        <rFont val="Noto Sans CJK SC"/>
      </rPr>
      <t>应等于</t>
    </r>
    <r>
      <rPr>
        <b val="false"/>
        <i val="true"/>
        <strike val="false"/>
        <sz val="10"/>
        <color rgb="FF808080"/>
        <rFont val="Calibri"/>
      </rPr>
      <t>ROE</t>
    </r>
    <r>
      <rPr>
        <b val="false"/>
        <i val="true"/>
        <strike val="false"/>
        <sz val="10"/>
        <color rgb="FF808080"/>
        <rFont val="Noto Sans CJK SC"/>
      </rPr>
      <t>总变动</t>
    </r>
  </si>
  <si>
    <t/>
    <r>
      <rPr>
        <b val="true"/>
        <i val="false"/>
        <strike val="false"/>
        <sz val="10"/>
        <color rgb="FF000000"/>
        <rFont val="Calibri"/>
      </rPr>
      <t>ROE</t>
    </r>
    <r>
      <rPr>
        <b val="true"/>
        <i val="false"/>
        <strike val="false"/>
        <sz val="10"/>
        <color rgb="FF000000"/>
        <rFont val="Noto Sans CJK SC"/>
      </rPr>
      <t>实际变动</t>
    </r>
  </si>
  <si>
    <t xml:space="preserve">校验偏差</t>
  </si>
  <si>
    <t/>
    <r>
      <rPr>
        <b val="true"/>
        <i val="false"/>
        <strike val="false"/>
        <sz val="11"/>
        <color rgb="FFFFFFFF"/>
        <rFont val="Noto Sans CJK SC"/>
      </rPr>
      <t xml:space="preserve">四、审计 </t>
    </r>
    <r>
      <rPr>
        <b val="true"/>
        <i val="false"/>
        <strike val="false"/>
        <sz val="11"/>
        <color rgb="FFFFFFFF"/>
        <rFont val="Calibri"/>
      </rPr>
      <t xml:space="preserve">/ </t>
    </r>
    <r>
      <rPr>
        <b val="true"/>
        <i val="false"/>
        <strike val="false"/>
        <sz val="11"/>
        <color rgb="FFFFFFFF"/>
        <rFont val="Noto Sans CJK SC"/>
      </rPr>
      <t>分析关注点（风险信号）</t>
    </r>
  </si>
  <si>
    <t xml:space="preserve">① 存货异常飙升（高度关注）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</si>
  <si>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年末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</si>
  <si>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年末</t>
    </r>
  </si>
  <si>
    <t xml:space="preserve">存货（亿元）</t>
  </si>
  <si>
    <t xml:space="preserve">金额</t>
  </si>
  <si>
    <t xml:space="preserve">营业收入增速</t>
  </si>
  <si>
    <t xml:space="preserve">—</t>
  </si>
  <si>
    <t xml:space="preserve">+17.04%</t>
  </si>
  <si>
    <t/>
    <r>
      <rPr>
        <b val="false"/>
        <i val="false"/>
        <strike val="false"/>
        <sz val="10"/>
        <color rgb="FF000000"/>
        <rFont val="Noto Sans CJK SC"/>
      </rPr>
      <t>存货增速</t>
    </r>
    <r>
      <rPr>
        <b val="false"/>
        <i val="false"/>
        <strike val="false"/>
        <sz val="10"/>
        <color rgb="FF000000"/>
        <rFont val="Calibri"/>
      </rPr>
      <t>(+58%)</t>
    </r>
    <r>
      <rPr>
        <b val="false"/>
        <i val="false"/>
        <strike val="false"/>
        <sz val="10"/>
        <color rgb="FF000000"/>
        <rFont val="Noto Sans CJK SC"/>
      </rPr>
      <t>远超营收增速</t>
    </r>
    <r>
      <rPr>
        <b val="false"/>
        <i val="false"/>
        <strike val="false"/>
        <sz val="10"/>
        <color rgb="FF000000"/>
        <rFont val="Calibri"/>
      </rPr>
      <t>(+17%)</t>
    </r>
  </si>
  <si>
    <t xml:space="preserve">对比</t>
  </si>
  <si>
    <t xml:space="preserve">核查要点：是否为应对下游需求扩张的主动备货（如储能订单放量）？是否存在滞销风险？需结合库龄结构、在手订单覆盖率、期后出货数据判断。存货跌价准备计提是否充分？碳酸锂价格波动可能带来减值压力。</t>
  </si>
  <si>
    <t xml:space="preserve">② 电池材料及回收业务毛利率异常跃升</t>
  </si>
  <si>
    <t xml:space="preserve">业务分部</t>
  </si>
  <si>
    <t/>
    <r>
      <rPr>
        <b val="true"/>
        <i val="false"/>
        <strike val="false"/>
        <sz val="10"/>
        <color rgb="FF000000"/>
        <rFont val="Calibri"/>
      </rPr>
      <t>2024</t>
    </r>
    <r>
      <rPr>
        <b val="true"/>
        <i val="false"/>
        <strike val="false"/>
        <sz val="10"/>
        <color rgb="FF000000"/>
        <rFont val="Noto Sans CJK SC"/>
      </rPr>
      <t>年毛利率</t>
    </r>
  </si>
  <si>
    <t/>
    <r>
      <rPr>
        <b val="true"/>
        <i val="false"/>
        <strike val="false"/>
        <sz val="10"/>
        <color rgb="FF000000"/>
        <rFont val="Calibri"/>
      </rPr>
      <t>2025</t>
    </r>
    <r>
      <rPr>
        <b val="true"/>
        <i val="false"/>
        <strike val="false"/>
        <sz val="10"/>
        <color rgb="FF000000"/>
        <rFont val="Noto Sans CJK SC"/>
      </rPr>
      <t>年毛利率</t>
    </r>
  </si>
  <si>
    <t xml:space="preserve">电池材料及回收</t>
  </si>
  <si>
    <t xml:space="preserve">提升幅度远超常规经营改善范围</t>
  </si>
  <si>
    <t xml:space="preserve">核查要点：是否因碳酸锂等原材料价格触底回升带动回收业务利润修复？是否存在会计估计变更（如折旧年限调整）、一次性收益（如政府补贴冲减成本）等非经常性因素？毛利率变动趋势是否与同行（格林美、华友钴业）一致？</t>
  </si>
  <si>
    <t xml:space="preserve">③ 有息负债结构变化与降杠杆的真实性</t>
  </si>
  <si>
    <t xml:space="preserve">短期借款（亿元）</t>
  </si>
  <si>
    <t xml:space="preserve">长期借款（亿元）</t>
  </si>
  <si>
    <t xml:space="preserve">有息负债合计（亿元，估算）</t>
  </si>
  <si>
    <t xml:space="preserve">估算值需核对年报附注原始数据</t>
  </si>
  <si>
    <t xml:space="preserve">归母净资产（亿元）</t>
  </si>
  <si>
    <t/>
    <r>
      <rPr>
        <b val="false"/>
        <i val="false"/>
        <strike val="false"/>
        <sz val="9"/>
        <color rgb="FF333333"/>
        <rFont val="Noto Sans CJK SC"/>
      </rPr>
      <t>核查要点：权益乘数从</t>
    </r>
    <r>
      <rPr>
        <b val="false"/>
        <i val="false"/>
        <strike val="false"/>
        <sz val="9"/>
        <color rgb="FF333333"/>
        <rFont val="Calibri"/>
      </rPr>
      <t>3.186</t>
    </r>
    <r>
      <rPr>
        <b val="false"/>
        <i val="false"/>
        <strike val="false"/>
        <sz val="9"/>
        <color rgb="FF333333"/>
        <rFont val="Noto Sans CJK SC"/>
      </rPr>
      <t>降至</t>
    </r>
    <r>
      <rPr>
        <b val="false"/>
        <i val="false"/>
        <strike val="false"/>
        <sz val="9"/>
        <color rgb="FF333333"/>
        <rFont val="Calibri"/>
      </rPr>
      <t>2.892</t>
    </r>
    <r>
      <rPr>
        <b val="false"/>
        <i val="false"/>
        <strike val="false"/>
        <sz val="9"/>
        <color rgb="FF333333"/>
        <rFont val="Noto Sans CJK SC"/>
      </rPr>
      <t>，是</t>
    </r>
    <r>
      <rPr>
        <b val="false"/>
        <i val="false"/>
        <strike val="false"/>
        <sz val="9"/>
        <color rgb="FF333333"/>
        <rFont val="Calibri"/>
      </rPr>
      <t>ROE</t>
    </r>
    <r>
      <rPr>
        <b val="false"/>
        <i val="false"/>
        <strike val="false"/>
        <sz val="9"/>
        <color rgb="FF333333"/>
        <rFont val="Noto Sans CJK SC"/>
      </rPr>
      <t>增长的第二大拖累（−</t>
    </r>
    <r>
      <rPr>
        <b val="false"/>
        <i val="false"/>
        <strike val="false"/>
        <sz val="9"/>
        <color rgb="FF333333"/>
        <rFont val="Calibri"/>
      </rPr>
      <t xml:space="preserve">2.18 p.p.</t>
    </r>
    <r>
      <rPr>
        <b val="false"/>
        <i val="false"/>
        <strike val="false"/>
        <sz val="9"/>
        <color rgb="FF333333"/>
        <rFont val="Noto Sans CJK SC"/>
      </rPr>
      <t>）。若主动降杠杆（偿还债务）属财务策略，则</t>
    </r>
    <r>
      <rPr>
        <b val="false"/>
        <i val="false"/>
        <strike val="false"/>
        <sz val="9"/>
        <color rgb="FF333333"/>
        <rFont val="Calibri"/>
      </rPr>
      <t>ROE</t>
    </r>
    <r>
      <rPr>
        <b val="false"/>
        <i val="false"/>
        <strike val="false"/>
        <sz val="9"/>
        <color rgb="FF333333"/>
        <rFont val="Noto Sans CJK SC"/>
      </rPr>
      <t>下降合理但需关注再投资风险；若债务减少系银行抽贷或融资环境变化所致，则需警惕流动性风险。联合存货大幅增加、经营现金流下降，需综合评估营运资金链条是否承压。</t>
    </r>
  </si>
  <si>
    <t xml:space="preserve">五、财务特征提炼</t>
  </si>
  <si>
    <t/>
    <r>
      <rPr>
        <b val="false"/>
        <i val="false"/>
        <strike val="false"/>
        <sz val="10"/>
        <color rgb="FF000000"/>
        <rFont val="Noto Sans CJK SC"/>
      </rPr>
      <t>宁德时代</t>
    </r>
    <r>
      <rPr>
        <b val="false"/>
        <i val="false"/>
        <strike val="false"/>
        <sz val="10"/>
        <color rgb="FF000000"/>
        <rFont val="Calibri"/>
      </rPr>
      <t>2025</t>
    </r>
    <r>
      <rPr>
        <b val="false"/>
        <i val="false"/>
        <strike val="false"/>
        <sz val="10"/>
        <color rgb="FF000000"/>
        <rFont val="Noto Sans CJK SC"/>
      </rPr>
      <t>年</t>
    </r>
    <r>
      <rPr>
        <b val="false"/>
        <i val="false"/>
        <strike val="false"/>
        <sz val="10"/>
        <color rgb="FF000000"/>
        <rFont val="Calibri"/>
      </rPr>
      <t>ROE</t>
    </r>
    <r>
      <rPr>
        <b val="false"/>
        <i val="false"/>
        <strike val="false"/>
        <sz val="10"/>
        <color rgb="FF000000"/>
        <rFont val="Noto Sans CJK SC"/>
      </rPr>
      <t>为</t>
    </r>
    <r>
      <rPr>
        <b val="false"/>
        <i val="false"/>
        <strike val="false"/>
        <sz val="10"/>
        <color rgb="FF000000"/>
        <rFont val="Calibri"/>
      </rPr>
      <t>21.44%</t>
    </r>
    <r>
      <rPr>
        <b val="false"/>
        <i val="false"/>
        <strike val="false"/>
        <sz val="10"/>
        <color rgb="FF000000"/>
        <rFont val="Noto Sans CJK SC"/>
      </rPr>
      <t>（按年末净资产计算），较上年提升</t>
    </r>
    <r>
      <rPr>
        <b val="false"/>
        <i val="false"/>
        <strike val="false"/>
        <sz val="10"/>
        <color rgb="FF000000"/>
        <rFont val="Calibri"/>
      </rPr>
      <t>0.88</t>
    </r>
    <r>
      <rPr>
        <b val="false"/>
        <i val="false"/>
        <strike val="false"/>
        <sz val="10"/>
        <color rgb="FF000000"/>
        <rFont val="Noto Sans CJK SC"/>
      </rPr>
      <t>个百分点。其中净利率提升贡献最大（</t>
    </r>
    <r>
      <rPr>
        <b val="false"/>
        <i val="false"/>
        <strike val="false"/>
        <sz val="10"/>
        <color rgb="FF000000"/>
        <rFont val="Calibri"/>
      </rPr>
      <t xml:space="preserve">+4.42 p.p.</t>
    </r>
    <r>
      <rPr>
        <b val="false"/>
        <i val="false"/>
        <strike val="false"/>
        <sz val="10"/>
        <color rgb="FF000000"/>
        <rFont val="Noto Sans CJK SC"/>
      </rPr>
      <t>），主要得益于上游原材料价格下降（碳酸锂等）及产品结构优化，归母净利率从</t>
    </r>
    <r>
      <rPr>
        <b val="false"/>
        <i val="false"/>
        <strike val="false"/>
        <sz val="10"/>
        <color rgb="FF000000"/>
        <rFont val="Calibri"/>
      </rPr>
      <t>14.02%</t>
    </r>
    <r>
      <rPr>
        <b val="false"/>
        <i val="false"/>
        <strike val="false"/>
        <sz val="10"/>
        <color rgb="FF000000"/>
        <rFont val="Noto Sans CJK SC"/>
      </rPr>
      <t>提升至</t>
    </r>
    <r>
      <rPr>
        <b val="false"/>
        <i val="false"/>
        <strike val="false"/>
        <sz val="10"/>
        <color rgb="FF000000"/>
        <rFont val="Calibri"/>
      </rPr>
      <t>17.04%</t>
    </r>
    <r>
      <rPr>
        <b val="false"/>
        <i val="false"/>
        <strike val="false"/>
        <sz val="10"/>
        <color rgb="FF000000"/>
        <rFont val="Noto Sans CJK SC"/>
      </rPr>
      <t>；但总资产周转率下降（−</t>
    </r>
    <r>
      <rPr>
        <b val="false"/>
        <i val="false"/>
        <strike val="false"/>
        <sz val="10"/>
        <color rgb="FF000000"/>
        <rFont val="Calibri"/>
      </rPr>
      <t xml:space="preserve">1.36 p.p.</t>
    </r>
    <r>
      <rPr>
        <b val="false"/>
        <i val="false"/>
        <strike val="false"/>
        <sz val="10"/>
        <color rgb="FF000000"/>
        <rFont val="Noto Sans CJK SC"/>
      </rPr>
      <t>）和降杠杆（权益乘数下降，−</t>
    </r>
    <r>
      <rPr>
        <b val="false"/>
        <i val="false"/>
        <strike val="false"/>
        <sz val="10"/>
        <color rgb="FF000000"/>
        <rFont val="Calibri"/>
      </rPr>
      <t xml:space="preserve">2.18 p.p.</t>
    </r>
    <r>
      <rPr>
        <b val="false"/>
        <i val="false"/>
        <strike val="false"/>
        <sz val="10"/>
        <color rgb="FF000000"/>
        <rFont val="Noto Sans CJK SC"/>
      </rPr>
      <t>）形成拖累，反映公司处于「高质量、去杠杆、提质增效」阶段——盈利能力增强，但资产扩张效率承压，同时主动降低财务风险。</t>
    </r>
  </si>
  <si>
    <t xml:space="preserve">六、补充：建议进一步核查的数据</t>
  </si>
  <si>
    <t/>
    <r>
      <rPr>
        <b val="false"/>
        <i val="false"/>
        <strike val="false"/>
        <sz val="9"/>
        <color rgb="FF333333"/>
        <rFont val="Noto Sans CJK SC"/>
      </rPr>
      <t xml:space="preserve">• 如可获取</t>
    </r>
    <r>
      <rPr>
        <b val="false"/>
        <i val="false"/>
        <strike val="false"/>
        <sz val="9"/>
        <color rgb="FF333333"/>
        <rFont val="Calibri"/>
      </rPr>
      <t>2022</t>
    </r>
    <r>
      <rPr>
        <b val="false"/>
        <i val="false"/>
        <strike val="false"/>
        <sz val="9"/>
        <color rgb="FF333333"/>
        <rFont val="Noto Sans CJK SC"/>
      </rPr>
      <t>年末数据，可进一步计算应收账款周转天数、存货周转天数（需期初期末平均余额）。</t>
    </r>
  </si>
  <si>
    <t/>
    <r>
      <rPr>
        <b val="false"/>
        <i val="false"/>
        <strike val="false"/>
        <sz val="9"/>
        <color rgb="FF333333"/>
        <rFont val="Noto Sans CJK SC"/>
      </rPr>
      <t xml:space="preserve">• 可对</t>
    </r>
    <r>
      <rPr>
        <b val="false"/>
        <i val="false"/>
        <strike val="false"/>
        <sz val="9"/>
        <color rgb="FF333333"/>
        <rFont val="Calibri"/>
      </rPr>
      <t>2024</t>
    </r>
    <r>
      <rPr>
        <b val="false"/>
        <i val="false"/>
        <strike val="false"/>
        <sz val="9"/>
        <color rgb="FF333333"/>
        <rFont val="Noto Sans CJK SC"/>
      </rPr>
      <t>年营收下降</t>
    </r>
    <r>
      <rPr>
        <b val="false"/>
        <i val="false"/>
        <strike val="false"/>
        <sz val="9"/>
        <color rgb="FF333333"/>
        <rFont val="Calibri"/>
      </rPr>
      <t>9.70%</t>
    </r>
    <r>
      <rPr>
        <b val="false"/>
        <i val="false"/>
        <strike val="false"/>
        <sz val="9"/>
        <color rgb="FF333333"/>
        <rFont val="Noto Sans CJK SC"/>
      </rPr>
      <t>做更深入的趋势分析（已超出当前数据范围）。</t>
    </r>
  </si>
  <si>
    <t/>
    <r>
      <rPr>
        <b val="false"/>
        <i val="false"/>
        <strike val="false"/>
        <sz val="9"/>
        <color rgb="FF333333"/>
        <rFont val="Noto Sans CJK SC"/>
      </rPr>
      <t xml:space="preserve">• 有息负债合计估算值需核对年报附注：短期借款</t>
    </r>
    <r>
      <rPr>
        <b val="false"/>
        <i val="false"/>
        <strike val="false"/>
        <sz val="9"/>
        <color rgb="FF333333"/>
        <rFont val="Calibri"/>
      </rPr>
      <t>+</t>
    </r>
    <r>
      <rPr>
        <b val="false"/>
        <i val="false"/>
        <strike val="false"/>
        <sz val="9"/>
        <color rgb="FF333333"/>
        <rFont val="Noto Sans CJK SC"/>
      </rPr>
      <t>一年内到期非流动负债</t>
    </r>
    <r>
      <rPr>
        <b val="false"/>
        <i val="false"/>
        <strike val="false"/>
        <sz val="9"/>
        <color rgb="FF333333"/>
        <rFont val="Calibri"/>
      </rPr>
      <t>+</t>
    </r>
    <r>
      <rPr>
        <b val="false"/>
        <i val="false"/>
        <strike val="false"/>
        <sz val="9"/>
        <color rgb="FF333333"/>
        <rFont val="Noto Sans CJK SC"/>
      </rPr>
      <t>长期借款</t>
    </r>
    <r>
      <rPr>
        <b val="false"/>
        <i val="false"/>
        <strike val="false"/>
        <sz val="9"/>
        <color rgb="FF333333"/>
        <rFont val="Calibri"/>
      </rPr>
      <t>+</t>
    </r>
    <r>
      <rPr>
        <b val="false"/>
        <i val="false"/>
        <strike val="false"/>
        <sz val="9"/>
        <color rgb="FF333333"/>
        <rFont val="Noto Sans CJK SC"/>
      </rPr>
      <t>应付债券</t>
    </r>
    <r>
      <rPr>
        <b val="false"/>
        <i val="false"/>
        <strike val="false"/>
        <sz val="9"/>
        <color rgb="FF333333"/>
        <rFont val="Calibri"/>
      </rPr>
      <t>+</t>
    </r>
    <r>
      <rPr>
        <b val="false"/>
        <i val="false"/>
        <strike val="false"/>
        <sz val="9"/>
        <color rgb="FF333333"/>
        <rFont val="Noto Sans CJK SC"/>
      </rPr>
      <t>租赁负债。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</si>
</sst>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General"/>
    <numFmt numFmtId="165" formatCode="#,##0.00"/>
    <numFmt numFmtId="166" formatCode="0.00%"/>
    <numFmt numFmtId="167" formatCode="0.00&quot; p.p.&quot;"/>
    <numFmt numFmtId="168" formatCode="0.000"/>
    <numFmt numFmtId="169" formatCode="0.000\次"/>
    <numFmt numFmtId="170" formatCode="0.000\倍"/>
  </numFmts>
  <fonts count="24">
    <font>
      <sz val="11"/>
      <color theme="1"/>
      <name val="Calibri"/>
      <family val="2"/>
      <scheme val="minor"/>
    </font>
    <font>
      <b val="true"/>
      <sz val="14"/>
      <color rgb="FFFFFFFF"/>
      <name val="Noto Sans CJK SC"/>
      <family val="2"/>
    </font>
    <font>
      <sz val="11"/>
      <color rgb="FF000000"/>
      <name val="Calibri"/>
      <family val="2"/>
    </font>
    <font>
      <b val="true"/>
      <sz val="14"/>
      <color rgb="FFFFFFFF"/>
      <name val="Calibri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Calibri"/>
      <family val="2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FF"/>
      <name val="Noto Sans CJK SC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i val="true"/>
      <sz val="10"/>
      <color rgb="FF808080"/>
      <name val="Noto Sans CJK SC"/>
      <family val="2"/>
    </font>
    <font>
      <i val="true"/>
      <sz val="10"/>
      <color rgb="FF808080"/>
      <name val="Calibri"/>
      <family val="2"/>
    </font>
    <font>
      <sz val="9"/>
      <color rgb="FF333333"/>
      <name val="Noto Sans CJK SC"/>
      <family val="2"/>
    </font>
    <font>
      <sz val="9"/>
      <color rgb="FF333333"/>
      <name val="Calibri"/>
      <family val="2"/>
    </font>
    <font>
      <b val="true"/>
      <sz val="11"/>
      <color rgb="FFFFFFFF"/>
      <name val="Calibri"/>
      <family val="2"/>
    </font>
    <font>
      <sz val="10"/>
      <color rgb="FF000000"/>
      <name val="Noto Sans CJK SC"/>
      <family val="2"/>
    </font>
    <font>
      <sz val="10"/>
      <color rgb="FF008000"/>
      <name val="Noto Sans CJK SC"/>
      <family val="2"/>
    </font>
    <font>
      <b val="true"/>
      <sz val="10"/>
      <color rgb="FFCC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Calibri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F3B5D"/>
        <bgColor/>
      </patternFill>
    </fill>
    <fill>
      <patternFill patternType="solid">
        <fgColor rgb="FF3288B9"/>
        <bgColor/>
      </patternFill>
    </fill>
    <fill>
      <patternFill patternType="solid">
        <fgColor rgb="FFCFE3F1"/>
        <bgColor/>
      </patternFill>
    </fill>
    <fill>
      <patternFill patternType="solid">
        <fgColor rgb="FFE8F0FE"/>
        <bgColor/>
      </patternFill>
    </fill>
    <fill>
      <patternFill patternType="solid">
        <fgColor rgb="FFFFF2CC"/>
        <bgColor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true" applyFont="true" applyNumberFormat="true" applyProtection="false" borderId="0" fillId="3" fontId="6" numFmtId="164" xfId="0">
      <alignment horizontal="left" vertical="center" wrapText="true"/>
    </xf>
    <xf applyAlignment="true" applyBorder="false" applyFill="true" applyFont="true" applyNumberFormat="true" applyProtection="false" borderId="1" fillId="4" fontId="7" numFmtId="164" xfId="0">
      <alignment horizontal="center" vertical="center" wrapText="true"/>
    </xf>
    <xf applyAlignment="true" applyBorder="false" applyFill="true" applyFont="true" applyNumberFormat="true" applyProtection="false" borderId="1" fillId="4" fontId="8" numFmtId="164" xfId="0">
      <alignment horizontal="center" vertical="center" wrapText="true"/>
    </xf>
    <xf applyAlignment="true" applyBorder="false" applyFill="true" applyFont="true" applyNumberFormat="true" applyProtection="false" borderId="1" fillId="5" fontId="11" numFmtId="164" xfId="0">
      <alignment horizontal="left" vertical="center" wrapText="true"/>
    </xf>
    <xf applyAlignment="true" applyBorder="false" applyFill="true" applyFont="true" applyNumberFormat="true" applyProtection="false" borderId="1" fillId="5" fontId="12" numFmtId="165" xfId="0">
      <alignment horizontal="right" vertical="center" wrapText="true"/>
    </xf>
    <xf applyAlignment="true" applyBorder="false" applyFill="false" applyFont="true" applyNumberFormat="true" applyProtection="false" borderId="1" fillId="0" fontId="13" numFmtId="165" xfId="0">
      <alignment horizontal="right" vertical="center" wrapText="true"/>
    </xf>
    <xf applyAlignment="true" applyBorder="false" applyFill="false" applyFont="true" applyNumberFormat="true" applyProtection="false" borderId="1" fillId="0" fontId="13" numFmtId="166" xfId="0">
      <alignment horizontal="right" vertical="center" wrapText="true"/>
    </xf>
    <xf applyAlignment="true" applyBorder="false" applyFill="false" applyFont="true" applyNumberFormat="true" applyProtection="false" borderId="1" fillId="0" fontId="14" numFmtId="164" xfId="0">
      <alignment horizontal="left" vertical="center" wrapText="true"/>
    </xf>
    <xf applyAlignment="true" applyBorder="false" applyFill="false" applyFont="true" applyNumberFormat="true" applyProtection="false" borderId="1" fillId="0" fontId="7" numFmtId="164" xfId="0">
      <alignment horizontal="left" vertical="center" wrapText="true"/>
    </xf>
    <xf applyAlignment="true" applyBorder="false" applyFill="false" applyFont="true" applyNumberFormat="true" applyProtection="false" borderId="1" fillId="0" fontId="13" numFmtId="167" xfId="0">
      <alignment horizontal="right" vertical="center" wrapText="true"/>
    </xf>
    <xf applyAlignment="true" applyBorder="false" applyFill="false" applyFont="true" applyNumberFormat="true" applyProtection="false" borderId="1" fillId="0" fontId="13" numFmtId="168" xfId="0">
      <alignment horizontal="right" vertical="center" wrapText="true"/>
    </xf>
    <xf applyAlignment="true" applyBorder="false" applyFill="false" applyFont="true" applyNumberFormat="true" applyProtection="false" borderId="1" fillId="0" fontId="13" numFmtId="169" xfId="0">
      <alignment horizontal="right" vertical="center" wrapText="true"/>
    </xf>
    <xf applyAlignment="true" applyBorder="false" applyFill="false" applyFont="true" applyNumberFormat="true" applyProtection="false" borderId="1" fillId="0" fontId="13" numFmtId="170" xfId="0">
      <alignment horizontal="right" vertical="center" wrapText="true"/>
    </xf>
    <xf applyAlignment="true" applyBorder="false" applyFill="true" applyFont="true" applyNumberFormat="true" applyProtection="false" borderId="1" fillId="4" fontId="8" numFmtId="164" xfId="0">
      <alignment horizontal="left" vertical="center" wrapText="true"/>
    </xf>
    <xf applyAlignment="true" applyBorder="false" applyFill="true" applyFont="true" applyNumberFormat="true" applyProtection="false" borderId="1" fillId="4" fontId="14" numFmtId="164" xfId="0">
      <alignment horizontal="left" vertical="center" wrapText="true"/>
    </xf>
    <xf applyAlignment="true" applyBorder="false" applyFill="true" applyFont="true" applyNumberFormat="true" applyProtection="false" borderId="1" fillId="4" fontId="8" numFmtId="166" xfId="0">
      <alignment horizontal="right" vertical="center" wrapText="true"/>
    </xf>
    <xf applyAlignment="true" applyBorder="false" applyFill="true" applyFont="true" applyNumberFormat="true" applyProtection="false" borderId="1" fillId="4" fontId="8" numFmtId="167" xfId="0">
      <alignment horizontal="right" vertical="center" wrapText="true"/>
    </xf>
    <xf applyAlignment="true" applyBorder="false" applyFill="false" applyFont="true" applyNumberFormat="true" applyProtection="false" borderId="0" fillId="0" fontId="16" numFmtId="164" xfId="0">
      <alignment horizontal="left" vertical="center" wrapText="true"/>
    </xf>
    <xf applyAlignment="true" applyBorder="false" applyFill="false" applyFont="true" applyNumberFormat="true" applyProtection="false" borderId="1" fillId="0" fontId="8" numFmtId="164" xfId="0">
      <alignment horizontal="left" vertical="center" wrapText="true"/>
    </xf>
    <xf applyAlignment="true" applyBorder="false" applyFill="false" applyFont="true" applyNumberFormat="true" applyProtection="false" borderId="1" fillId="0" fontId="15" numFmtId="164" xfId="0">
      <alignment horizontal="left" vertical="center" wrapText="true"/>
    </xf>
    <xf applyAlignment="true" applyBorder="false" applyFill="false" applyFont="true" applyNumberFormat="true" applyProtection="false" borderId="1" fillId="0" fontId="8" numFmtId="167" xfId="0">
      <alignment horizontal="right" vertical="center" wrapText="true"/>
    </xf>
    <xf applyAlignment="true" applyBorder="false" applyFill="false" applyFont="true" applyNumberFormat="true" applyProtection="false" borderId="1" fillId="0" fontId="19" numFmtId="164" xfId="0">
      <alignment horizontal="left" vertical="center" wrapText="true"/>
    </xf>
    <xf applyAlignment="true" applyBorder="false" applyFill="true" applyFont="true" applyNumberFormat="true" applyProtection="false" borderId="1" fillId="4" fontId="7" numFmtId="164" xfId="0">
      <alignment horizontal="left" vertical="center" wrapText="true"/>
    </xf>
    <xf applyAlignment="true" applyBorder="false" applyFill="true" applyFont="true" applyNumberFormat="true" applyProtection="false" borderId="1" fillId="4" fontId="20" numFmtId="164" xfId="0">
      <alignment horizontal="left" vertical="center" wrapText="true"/>
    </xf>
    <xf applyAlignment="true" applyBorder="false" applyFill="true" applyFont="true" applyNumberFormat="true" applyProtection="false" borderId="0" fillId="6" fontId="21" numFmtId="164" xfId="0">
      <alignment horizontal="left" vertical="center" wrapText="true"/>
    </xf>
    <xf applyAlignment="true" applyBorder="false" applyFill="false" applyFont="true" applyNumberFormat="true" applyProtection="false" borderId="1" fillId="0" fontId="13" numFmtId="164" xfId="0">
      <alignment horizontal="center" vertical="center" wrapText="true"/>
    </xf>
    <xf applyAlignment="true" applyBorder="false" applyFill="false" applyFont="true" applyNumberFormat="true" applyProtection="false" borderId="0" fillId="0" fontId="19" numFmtId="164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dbwLYU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4" ySplit="3"/>
    </sheetView>
  </sheetViews>
  <sheetFormatPr defaultColWidth="8" defaultRowHeight="18"/>
  <cols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15"/>
    <col collapsed="false" customWidth="true" hidden="false" max="6" min="6" style="0" width="36"/>
    <col collapsed="false" customWidth="true" hidden="false" max="1" min="1" style="0" width="28"/>
  </cols>
  <sheetData>
    <row customHeight="true" ht="34" r="1">
      <c r="A1" s="1" t="s">
        <v>1</v>
      </c>
      <c r="B1" s="1"/>
      <c r="C1" s="1"/>
      <c r="D1" s="1"/>
      <c r="E1" s="1"/>
      <c r="F1" s="1"/>
    </row>
    <row customHeight="true" ht="18" r="2">
      <c r="A2" s="2" t="s">
        <v>2</v>
      </c>
      <c r="B2" s="2"/>
      <c r="C2" s="2"/>
      <c r="D2" s="2"/>
      <c r="E2" s="2"/>
      <c r="F2" s="2"/>
    </row>
    <row r="3"/>
    <row customHeight="true" ht="23" r="4">
      <c r="A4" s="3" t="s">
        <v>3</v>
      </c>
      <c r="B4" s="3"/>
      <c r="C4" s="3"/>
      <c r="D4" s="3"/>
      <c r="E4" s="3"/>
      <c r="F4" s="3"/>
    </row>
    <row customHeight="true" ht="26" r="5">
      <c r="A5" s="4" t="s">
        <v>4</v>
      </c>
      <c r="B5" s="5" t="s">
        <v>5</v>
      </c>
      <c r="C5" s="5" t="s">
        <v>6</v>
      </c>
      <c r="D5" s="4" t="s">
        <v>7</v>
      </c>
      <c r="E5" s="4" t="s">
        <v>8</v>
      </c>
      <c r="F5" s="4" t="s">
        <v>9</v>
      </c>
    </row>
    <row customHeight="true" ht="14" r="6">
      <c r="A6" s="6" t="s">
        <v>10</v>
      </c>
      <c r="B6" s="7">
        <v>507.45</v>
      </c>
      <c r="C6" s="7">
        <v>722.01</v>
      </c>
      <c r="D6" s="8">
        <f>C6-B6</f>
      </c>
      <c r="E6" s="9">
        <f>IF(B6=0,"-",D6/B6)</f>
      </c>
      <c r="F6" s="10" t="s">
        <v>11</v>
      </c>
    </row>
    <row customHeight="true" ht="14" r="7">
      <c r="A7" s="6" t="s">
        <v>12</v>
      </c>
      <c r="B7" s="7">
        <v>3620.13</v>
      </c>
      <c r="C7" s="7">
        <v>4237.02</v>
      </c>
      <c r="D7" s="8">
        <f>C7-B7</f>
      </c>
      <c r="E7" s="9">
        <f>IF(B7=0,"-",D7/B7)</f>
      </c>
      <c r="F7" s="10" t="s">
        <v>11</v>
      </c>
    </row>
    <row customHeight="true" ht="14" r="8">
      <c r="A8" s="6" t="s">
        <v>13</v>
      </c>
      <c r="B8" s="7">
        <v>7866.58</v>
      </c>
      <c r="C8" s="7">
        <v>9748.28</v>
      </c>
      <c r="D8" s="8">
        <f>C8-B8</f>
      </c>
      <c r="E8" s="9">
        <f>IF(B8=0,"-",D8/B8)</f>
      </c>
      <c r="F8" s="10" t="s">
        <v>14</v>
      </c>
    </row>
    <row customHeight="true" ht="14" r="9">
      <c r="A9" s="6" t="s">
        <v>15</v>
      </c>
      <c r="B9" s="7">
        <v>2469.3</v>
      </c>
      <c r="C9" s="7">
        <v>3371.08</v>
      </c>
      <c r="D9" s="8">
        <f>C9-B9</f>
      </c>
      <c r="E9" s="9">
        <f>IF(B9=0,"-",D9/B9)</f>
      </c>
      <c r="F9" s="10" t="s">
        <v>14</v>
      </c>
    </row>
    <row r="10"/>
    <row customHeight="true" ht="23" r="11">
      <c r="A11" s="3" t="s">
        <v>16</v>
      </c>
      <c r="B11" s="3"/>
      <c r="C11" s="3"/>
      <c r="D11" s="3"/>
      <c r="E11" s="3"/>
      <c r="F11" s="3"/>
    </row>
    <row customHeight="true" ht="26" r="12">
      <c r="A12" s="4" t="s">
        <v>17</v>
      </c>
      <c r="B12" s="4" t="s">
        <v>18</v>
      </c>
      <c r="C12" s="5" t="s">
        <v>5</v>
      </c>
      <c r="D12" s="5" t="s">
        <v>6</v>
      </c>
      <c r="E12" s="4" t="s">
        <v>19</v>
      </c>
      <c r="F12" s="4" t="s">
        <v>20</v>
      </c>
    </row>
    <row customHeight="true" ht="14" r="13">
      <c r="A13" s="11" t="s">
        <v>21</v>
      </c>
      <c r="B13" s="10" t="s">
        <v>22</v>
      </c>
      <c r="C13" s="9">
        <f>B6/B7</f>
      </c>
      <c r="D13" s="9">
        <f>C6/C7</f>
      </c>
      <c r="E13" s="12">
        <f>(D13-C13)*100</f>
      </c>
      <c r="F13" s="10" t="s">
        <v>23</v>
      </c>
    </row>
    <row customHeight="true" ht="14" r="14">
      <c r="A14" s="11" t="s">
        <v>24</v>
      </c>
      <c r="B14" s="10" t="s">
        <v>25</v>
      </c>
      <c r="C14" s="13">
        <f>B7/B8</f>
      </c>
      <c r="D14" s="13">
        <f>C7/C8</f>
      </c>
      <c r="E14" s="14">
        <f>D14-C14</f>
      </c>
      <c r="F14" s="10" t="s">
        <v>26</v>
      </c>
    </row>
    <row customHeight="true" ht="14" r="15">
      <c r="A15" s="11" t="s">
        <v>27</v>
      </c>
      <c r="B15" s="10" t="s">
        <v>28</v>
      </c>
      <c r="C15" s="13">
        <f>B8/B9</f>
      </c>
      <c r="D15" s="13">
        <f>C8/C9</f>
      </c>
      <c r="E15" s="15">
        <f>D15-C15</f>
      </c>
      <c r="F15" s="10" t="s">
        <v>29</v>
      </c>
    </row>
    <row customHeight="true" ht="14" r="16">
      <c r="A16" s="16" t="s">
        <v>30</v>
      </c>
      <c r="B16" s="17" t="s">
        <v>31</v>
      </c>
      <c r="C16" s="18">
        <f>C13*C14*C15</f>
      </c>
      <c r="D16" s="18">
        <f>D13*D14*D15</f>
      </c>
      <c r="E16" s="19">
        <f>(D16-C16)*100</f>
      </c>
      <c r="F16" s="17" t="s">
        <v>32</v>
      </c>
    </row>
    <row customHeight="true" ht="30" r="17">
      <c r="A17" s="20" t="s">
        <v>33</v>
      </c>
      <c r="B17" s="20"/>
      <c r="C17" s="20"/>
      <c r="D17" s="20"/>
      <c r="E17" s="20"/>
      <c r="F17" s="20"/>
    </row>
    <row r="18"/>
    <row customHeight="true" ht="23" r="19">
      <c r="A19" s="3" t="s">
        <v>34</v>
      </c>
      <c r="B19" s="3"/>
      <c r="C19" s="3"/>
      <c r="D19" s="3"/>
      <c r="E19" s="3"/>
      <c r="F19" s="3"/>
    </row>
    <row customHeight="true" ht="26" r="20">
      <c r="A20" s="4" t="s">
        <v>35</v>
      </c>
      <c r="B20" s="4" t="s">
        <v>36</v>
      </c>
      <c r="C20" s="4" t="s">
        <v>37</v>
      </c>
      <c r="D20" s="4"/>
      <c r="E20" s="4"/>
      <c r="F20" s="4" t="s">
        <v>20</v>
      </c>
    </row>
    <row customHeight="true" ht="14" r="21">
      <c r="A21" s="21" t="s">
        <v>38</v>
      </c>
      <c r="B21" s="22" t="s">
        <v>39</v>
      </c>
      <c r="C21" s="23">
        <f>(D16-C16)*100</f>
      </c>
      <c r="D21" s="23"/>
      <c r="E21" s="23"/>
      <c r="F21" s="10" t="s">
        <v>40</v>
      </c>
    </row>
    <row customHeight="true" ht="14" r="22">
      <c r="A22" s="24" t="s">
        <v>41</v>
      </c>
      <c r="B22" s="22" t="s">
        <v>42</v>
      </c>
      <c r="C22" s="12">
        <f>(D13-C13)*C14*C15*100</f>
      </c>
      <c r="D22" s="12"/>
      <c r="E22" s="12"/>
      <c r="F22" s="10" t="s">
        <v>43</v>
      </c>
    </row>
    <row customHeight="true" ht="14" r="23">
      <c r="A23" s="24" t="s">
        <v>44</v>
      </c>
      <c r="B23" s="10" t="s">
        <v>45</v>
      </c>
      <c r="C23" s="12">
        <f>D13*(D14-C14)*C15*100</f>
      </c>
      <c r="D23" s="12"/>
      <c r="E23" s="12"/>
      <c r="F23" s="10" t="s">
        <v>46</v>
      </c>
    </row>
    <row customHeight="true" ht="14" r="24">
      <c r="A24" s="24" t="s">
        <v>47</v>
      </c>
      <c r="B24" s="10" t="s">
        <v>48</v>
      </c>
      <c r="C24" s="12">
        <f>D13*D14*(D15-C15)*100</f>
      </c>
      <c r="D24" s="12"/>
      <c r="E24" s="12"/>
      <c r="F24" s="10" t="s">
        <v>49</v>
      </c>
    </row>
    <row r="25"/>
    <row customHeight="true" ht="23" r="26">
      <c r="A26" s="3" t="s">
        <v>50</v>
      </c>
      <c r="B26" s="3"/>
      <c r="C26" s="3"/>
      <c r="D26" s="3"/>
      <c r="E26" s="3"/>
      <c r="F26" s="3"/>
    </row>
    <row customHeight="true" ht="26" r="27">
      <c r="A27" s="4" t="s">
        <v>51</v>
      </c>
      <c r="B27" s="4" t="s">
        <v>52</v>
      </c>
      <c r="C27" s="4"/>
      <c r="D27" s="4"/>
      <c r="E27" s="4"/>
      <c r="F27" s="4" t="s">
        <v>53</v>
      </c>
    </row>
    <row customHeight="true" ht="14" r="28">
      <c r="A28" s="24" t="s">
        <v>54</v>
      </c>
      <c r="B28" s="12">
        <f>C22</f>
      </c>
      <c r="C28" s="12"/>
      <c r="D28" s="12"/>
      <c r="E28" s="22"/>
      <c r="F28" s="22"/>
    </row>
    <row customHeight="true" ht="14" r="29">
      <c r="A29" s="24" t="s">
        <v>55</v>
      </c>
      <c r="B29" s="12">
        <f>C23</f>
      </c>
      <c r="C29" s="12"/>
      <c r="D29" s="12"/>
      <c r="E29" s="22"/>
      <c r="F29" s="22"/>
    </row>
    <row customHeight="true" ht="14" r="30">
      <c r="A30" s="24" t="s">
        <v>56</v>
      </c>
      <c r="B30" s="12">
        <f>C24</f>
      </c>
      <c r="C30" s="12"/>
      <c r="D30" s="12"/>
      <c r="E30" s="22"/>
      <c r="F30" s="22"/>
    </row>
    <row customHeight="true" ht="14" r="31">
      <c r="A31" s="25" t="s">
        <v>57</v>
      </c>
      <c r="B31" s="19">
        <f>SUM(C22:C24)</f>
      </c>
      <c r="C31" s="19"/>
      <c r="D31" s="19"/>
      <c r="E31" s="17" t="s">
        <v>58</v>
      </c>
      <c r="F31" s="17"/>
    </row>
    <row customHeight="true" ht="14" r="32">
      <c r="A32" s="16" t="s">
        <v>59</v>
      </c>
      <c r="B32" s="19">
        <f>C21</f>
      </c>
      <c r="C32" s="19"/>
      <c r="D32" s="19"/>
      <c r="E32" s="17"/>
      <c r="F32" s="17"/>
    </row>
    <row customHeight="true" ht="14" r="33">
      <c r="A33" s="25" t="s">
        <v>60</v>
      </c>
      <c r="B33" s="19">
        <f>C22+C23+C24-C21</f>
      </c>
      <c r="C33" s="19"/>
      <c r="D33" s="19"/>
      <c r="E33" s="26">
        <f>IF(ABS(C33)&lt;0.01,"✔ 完全匹配","⚠ 偏差需核查")</f>
      </c>
      <c r="F33" s="26"/>
    </row>
    <row r="34"/>
    <row customHeight="true" ht="23" r="35">
      <c r="A35" s="3" t="s">
        <v>61</v>
      </c>
      <c r="B35" s="3"/>
      <c r="C35" s="3"/>
      <c r="D35" s="3"/>
      <c r="E35" s="3"/>
      <c r="F35" s="3"/>
    </row>
    <row customHeight="true" ht="20" r="36">
      <c r="A36" s="27" t="s">
        <v>62</v>
      </c>
      <c r="B36" s="27"/>
      <c r="C36" s="27"/>
      <c r="D36" s="27"/>
      <c r="E36" s="27"/>
      <c r="F36" s="27"/>
    </row>
    <row customHeight="true" ht="26" r="37">
      <c r="A37" s="4" t="s">
        <v>17</v>
      </c>
      <c r="B37" s="5" t="s">
        <v>63</v>
      </c>
      <c r="C37" s="5" t="s">
        <v>64</v>
      </c>
      <c r="D37" s="4" t="s">
        <v>19</v>
      </c>
      <c r="E37" s="4"/>
      <c r="F37" s="4" t="s">
        <v>20</v>
      </c>
    </row>
    <row customHeight="true" ht="14" r="38">
      <c r="A38" s="24" t="s">
        <v>65</v>
      </c>
      <c r="B38" s="8">
        <v>598.36</v>
      </c>
      <c r="C38" s="8">
        <v>945.26</v>
      </c>
      <c r="D38" s="9">
        <f>(C38-B38)/B38</f>
      </c>
      <c r="E38" s="9"/>
      <c r="F38" s="10" t="s">
        <v>66</v>
      </c>
    </row>
    <row customHeight="true" ht="14" r="39">
      <c r="A39" s="24" t="s">
        <v>67</v>
      </c>
      <c r="B39" s="28" t="s">
        <v>68</v>
      </c>
      <c r="C39" s="28" t="s">
        <v>69</v>
      </c>
      <c r="D39" s="24" t="s">
        <v>70</v>
      </c>
      <c r="E39" s="24"/>
      <c r="F39" s="10" t="s">
        <v>71</v>
      </c>
    </row>
    <row customHeight="true" ht="40" r="40">
      <c r="A40" s="20" t="s">
        <v>72</v>
      </c>
      <c r="B40" s="20"/>
      <c r="C40" s="20"/>
      <c r="D40" s="20"/>
      <c r="E40" s="20"/>
      <c r="F40" s="20"/>
    </row>
    <row r="41"/>
    <row customHeight="true" ht="20" r="42">
      <c r="A42" s="27" t="s">
        <v>73</v>
      </c>
      <c r="B42" s="27"/>
      <c r="C42" s="27"/>
      <c r="D42" s="27"/>
      <c r="E42" s="27"/>
      <c r="F42" s="27"/>
    </row>
    <row customHeight="true" ht="26" r="43">
      <c r="A43" s="4" t="s">
        <v>74</v>
      </c>
      <c r="B43" s="5" t="s">
        <v>75</v>
      </c>
      <c r="C43" s="5" t="s">
        <v>76</v>
      </c>
      <c r="D43" s="4" t="s">
        <v>19</v>
      </c>
      <c r="E43" s="4"/>
      <c r="F43" s="4" t="s">
        <v>20</v>
      </c>
    </row>
    <row customHeight="true" ht="14" r="44">
      <c r="A44" s="24" t="s">
        <v>77</v>
      </c>
      <c r="B44" s="9">
        <v>0.1051</v>
      </c>
      <c r="C44" s="9">
        <v>0.2727</v>
      </c>
      <c r="D44" s="12">
        <f>(C44-B44)*100</f>
      </c>
      <c r="E44" s="12"/>
      <c r="F44" s="10" t="s">
        <v>78</v>
      </c>
    </row>
    <row customHeight="true" ht="40" r="45">
      <c r="A45" s="20" t="s">
        <v>79</v>
      </c>
      <c r="B45" s="20"/>
      <c r="C45" s="20"/>
      <c r="D45" s="20"/>
      <c r="E45" s="20"/>
      <c r="F45" s="20"/>
    </row>
    <row r="46"/>
    <row customHeight="true" ht="20" r="47">
      <c r="A47" s="27" t="s">
        <v>80</v>
      </c>
      <c r="B47" s="27"/>
      <c r="C47" s="27"/>
      <c r="D47" s="27"/>
      <c r="E47" s="27"/>
      <c r="F47" s="27"/>
    </row>
    <row customHeight="true" ht="26" r="48">
      <c r="A48" s="4" t="s">
        <v>17</v>
      </c>
      <c r="B48" s="5" t="s">
        <v>63</v>
      </c>
      <c r="C48" s="5" t="s">
        <v>64</v>
      </c>
      <c r="D48" s="4" t="s">
        <v>8</v>
      </c>
      <c r="E48" s="4"/>
      <c r="F48" s="4" t="s">
        <v>20</v>
      </c>
    </row>
    <row customHeight="true" ht="14" r="49">
      <c r="A49" s="24" t="s">
        <v>81</v>
      </c>
      <c r="B49" s="8">
        <v>196.96</v>
      </c>
      <c r="C49" s="8">
        <v>129.35</v>
      </c>
      <c r="D49" s="9">
        <f>IF(B49=0,"-",(C49-B49)/B49)</f>
      </c>
      <c r="E49" s="9"/>
      <c r="F49" s="10"/>
    </row>
    <row customHeight="true" ht="14" r="50">
      <c r="A50" s="24" t="s">
        <v>82</v>
      </c>
      <c r="B50" s="8">
        <v>812.38</v>
      </c>
      <c r="C50" s="8">
        <v>782.35</v>
      </c>
      <c r="D50" s="9">
        <f>IF(B50=0,"-",(C50-B50)/B50)</f>
      </c>
      <c r="E50" s="9"/>
      <c r="F50" s="10"/>
    </row>
    <row customHeight="true" ht="14" r="51">
      <c r="A51" s="24" t="s">
        <v>83</v>
      </c>
      <c r="B51" s="8">
        <v>1364</v>
      </c>
      <c r="C51" s="8">
        <v>1197</v>
      </c>
      <c r="D51" s="9">
        <f>IF(B51=0,"-",(C51-B51)/B51)</f>
      </c>
      <c r="E51" s="9"/>
      <c r="F51" s="10" t="s">
        <v>84</v>
      </c>
    </row>
    <row customHeight="true" ht="14" r="52">
      <c r="A52" s="24" t="s">
        <v>85</v>
      </c>
      <c r="B52" s="8">
        <v>2469.3</v>
      </c>
      <c r="C52" s="8">
        <v>3371.08</v>
      </c>
      <c r="D52" s="9">
        <f>IF(B52=0,"-",(C52-B52)/B52)</f>
      </c>
      <c r="E52" s="9"/>
      <c r="F52" s="10"/>
    </row>
    <row customHeight="true" ht="49" r="53">
      <c r="A53" s="20" t="s">
        <v>86</v>
      </c>
      <c r="B53" s="20"/>
      <c r="C53" s="20"/>
      <c r="D53" s="20"/>
      <c r="E53" s="20"/>
      <c r="F53" s="20"/>
    </row>
    <row r="54"/>
    <row customHeight="true" ht="23" r="55">
      <c r="A55" s="3" t="s">
        <v>87</v>
      </c>
      <c r="B55" s="3"/>
      <c r="C55" s="3"/>
      <c r="D55" s="3"/>
      <c r="E55" s="3"/>
      <c r="F55" s="3"/>
    </row>
    <row customHeight="true" ht="68" r="56">
      <c r="A56" s="29" t="s">
        <v>88</v>
      </c>
      <c r="B56" s="29"/>
      <c r="C56" s="29"/>
      <c r="D56" s="29"/>
      <c r="E56" s="29"/>
      <c r="F56" s="29"/>
    </row>
    <row r="57"/>
    <row customHeight="true" ht="23" r="58">
      <c r="A58" s="3" t="s">
        <v>89</v>
      </c>
      <c r="B58" s="3"/>
      <c r="C58" s="3"/>
      <c r="D58" s="3"/>
      <c r="E58" s="3"/>
      <c r="F58" s="3"/>
    </row>
    <row customHeight="true" ht="23" r="59">
      <c r="A59" s="20" t="s">
        <v>90</v>
      </c>
      <c r="B59" s="20"/>
      <c r="C59" s="20"/>
      <c r="D59" s="20"/>
      <c r="E59" s="20"/>
      <c r="F59" s="20"/>
    </row>
    <row customHeight="true" ht="23" r="60">
      <c r="A60" s="20" t="s">
        <v>91</v>
      </c>
      <c r="B60" s="20"/>
      <c r="C60" s="20"/>
      <c r="D60" s="20"/>
      <c r="E60" s="20"/>
      <c r="F60" s="20"/>
    </row>
    <row customHeight="true" ht="23" r="61">
      <c r="A61" s="20" t="s">
        <v>92</v>
      </c>
      <c r="B61" s="20"/>
      <c r="C61" s="20"/>
      <c r="D61" s="20"/>
      <c r="E61" s="20"/>
      <c r="F61" s="20"/>
    </row>
  </sheetData>
  <mergeCells>
    <mergeCell ref="A1:F1"/>
    <mergeCell ref="A2:F2"/>
    <mergeCell ref="A4:F4"/>
    <mergeCell ref="A11:F11"/>
    <mergeCell ref="A17:F17"/>
    <mergeCell ref="A19:F19"/>
    <mergeCell ref="C21:E21"/>
    <mergeCell ref="C22:E22"/>
    <mergeCell ref="C23:E23"/>
    <mergeCell ref="C24:E24"/>
    <mergeCell ref="A26:F26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A35:F35"/>
    <mergeCell ref="A36:F36"/>
    <mergeCell ref="D38:E38"/>
    <mergeCell ref="D39:E39"/>
    <mergeCell ref="A40:F40"/>
    <mergeCell ref="A42:F42"/>
    <mergeCell ref="D44:E44"/>
    <mergeCell ref="A45:F45"/>
    <mergeCell ref="A47:F47"/>
    <mergeCell ref="D49:E49"/>
    <mergeCell ref="D50:E50"/>
    <mergeCell ref="D51:E51"/>
    <mergeCell ref="D52:E52"/>
    <mergeCell ref="A53:F53"/>
    <mergeCell ref="A55:F55"/>
    <mergeCell ref="A56:F56"/>
    <mergeCell ref="A58:F58"/>
    <mergeCell ref="A59:F59"/>
    <mergeCell ref="A60:F60"/>
    <mergeCell ref="A61:F61"/>
  </mergeCells>
  <printOptions gridLinesSet="true"/>
  <pageMargins bottom="1" footer="0.511811023622047" header="0.511811023622047" left="0.75" right="0.75" top="1"/>
  <pageSetup cellComments="none" copies="1" horizontalDpi="300" orientation="portrait" pageOrder="downThenOver" paperSize="1" scale="1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{"Label":"1","ContentProducer":"001191110102MACQD9K64010000","ProduceID":"7674908803741815188","ReservedCode1":"","ContentPropagator":"","PropagateID":"","ReservedCode2":""}</vt:lpwstr>
  </property>
</Properties>
</file>