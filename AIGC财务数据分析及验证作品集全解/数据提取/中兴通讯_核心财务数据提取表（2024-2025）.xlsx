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核心财务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<sst xmlns="http://schemas.openxmlformats.org/spreadsheetml/2006/main" count="86" uniqueCount="86">
  <si>
    <t xml:space="preserve">  </t>
  </si>
  <si>
    <t/>
    <r>
      <rPr>
        <b val="true"/>
        <i val="false"/>
        <strike val="false"/>
        <sz val="14"/>
        <color rgb="FFFFFFFF"/>
        <rFont val="Noto Sans CJK SC"/>
      </rPr>
      <t xml:space="preserve">中兴通讯 核心财务数据提取表（</t>
    </r>
    <r>
      <rPr>
        <b val="true"/>
        <i val="false"/>
        <strike val="false"/>
        <sz val="14"/>
        <color rgb="FFFFFFFF"/>
        <rFont val="Calibri"/>
      </rPr>
      <t>2024-2025</t>
    </r>
    <r>
      <rPr>
        <b val="true"/>
        <i val="false"/>
        <strike val="false"/>
        <sz val="14"/>
        <color rgb="FFFFFFFF"/>
        <rFont val="Noto Sans CJK SC"/>
      </rPr>
      <t>）</t>
    </r>
  </si>
  <si>
    <t/>
    <r>
      <rPr>
        <b val="false"/>
        <i val="true"/>
        <strike val="false"/>
        <sz val="9"/>
        <color rgb="FF666666"/>
        <rFont val="Noto Sans CJK SC"/>
      </rPr>
      <t>单位：人民币百万元（除非特别注明）｜变动</t>
    </r>
    <r>
      <rPr>
        <b val="false"/>
        <i val="true"/>
        <strike val="false"/>
        <sz val="9"/>
        <color rgb="FF666666"/>
        <rFont val="Calibri"/>
      </rPr>
      <t xml:space="preserve">% = (2025-2024)/2024</t>
    </r>
    <r>
      <rPr>
        <b val="false"/>
        <i val="true"/>
        <strike val="false"/>
        <sz val="9"/>
        <color rgb="FF666666"/>
        <rFont val="Noto Sans CJK SC"/>
      </rPr>
      <t>｜页码为</t>
    </r>
    <r>
      <rPr>
        <b val="false"/>
        <i val="true"/>
        <strike val="false"/>
        <sz val="9"/>
        <color rgb="FF666666"/>
        <rFont val="Calibri"/>
      </rPr>
      <t>PDF</t>
    </r>
    <r>
      <rPr>
        <b val="false"/>
        <i val="true"/>
        <strike val="false"/>
        <sz val="9"/>
        <color rgb="FF666666"/>
        <rFont val="Noto Sans CJK SC"/>
      </rPr>
      <t>内页页码</t>
    </r>
  </si>
  <si>
    <t xml:space="preserve">一、关键财务指标（主表）</t>
  </si>
  <si>
    <t xml:space="preserve">指标名称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</si>
  <si>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</si>
  <si>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</t>
    </r>
  </si>
  <si>
    <t xml:space="preserve">变动额</t>
  </si>
  <si>
    <t/>
    <r>
      <rPr>
        <b val="true"/>
        <i val="false"/>
        <strike val="false"/>
        <sz val="10"/>
        <color rgb="FF000000"/>
        <rFont val="Noto Sans CJK SC"/>
      </rPr>
      <t>变动</t>
    </r>
    <r>
      <rPr>
        <b val="true"/>
        <i val="false"/>
        <strike val="false"/>
        <sz val="10"/>
        <color rgb="FF000000"/>
        <rFont val="Calibri"/>
      </rPr>
      <t>%</t>
    </r>
  </si>
  <si>
    <t/>
    <r>
      <rPr>
        <b val="true"/>
        <i val="false"/>
        <strike val="false"/>
        <sz val="10"/>
        <color rgb="FF000000"/>
        <rFont val="Noto Sans CJK SC"/>
      </rPr>
      <t>数据来源（年报</t>
    </r>
    <r>
      <rPr>
        <b val="true"/>
        <i val="false"/>
        <strike val="false"/>
        <sz val="10"/>
        <color rgb="FF000000"/>
        <rFont val="Calibri"/>
      </rPr>
      <t>·</t>
    </r>
    <r>
      <rPr>
        <b val="true"/>
        <i val="false"/>
        <strike val="false"/>
        <sz val="10"/>
        <color rgb="FF000000"/>
        <rFont val="Noto Sans CJK SC"/>
      </rPr>
      <t>页码）</t>
    </r>
  </si>
  <si>
    <t xml:space="preserve">营业收入</t>
  </si>
  <si>
    <t/>
    <r>
      <rPr>
        <b val="false"/>
        <i val="true"/>
        <strike val="false"/>
        <sz val="10"/>
        <color rgb="FF808080"/>
        <rFont val="Calibri"/>
      </rPr>
      <t xml:space="preserve">2024 P11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P11</t>
    </r>
  </si>
  <si>
    <t xml:space="preserve">营业成本</t>
  </si>
  <si>
    <t/>
    <r>
      <rPr>
        <b val="false"/>
        <i val="true"/>
        <strike val="false"/>
        <sz val="10"/>
        <color rgb="FF808080"/>
        <rFont val="Calibri"/>
      </rPr>
      <t xml:space="preserve">2024 P26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P25</t>
    </r>
  </si>
  <si>
    <t xml:space="preserve">归母净利润</t>
  </si>
  <si>
    <t xml:space="preserve">归母净利率</t>
  </si>
  <si>
    <t xml:space="preserve">—</t>
  </si>
  <si>
    <t xml:space="preserve">自行计算</t>
  </si>
  <si>
    <t/>
    <r>
      <rPr>
        <b val="false"/>
        <i val="false"/>
        <strike val="false"/>
        <sz val="10"/>
        <color rgb="FF000000"/>
        <rFont val="Noto Sans CJK SC"/>
      </rPr>
      <t>加权平均</t>
    </r>
    <r>
      <rPr>
        <b val="false"/>
        <i val="false"/>
        <strike val="false"/>
        <sz val="10"/>
        <color rgb="FF000000"/>
        <rFont val="Calibri"/>
      </rPr>
      <t>ROE</t>
    </r>
  </si>
  <si>
    <t/>
    <r>
      <rPr>
        <b val="false"/>
        <i val="true"/>
        <strike val="false"/>
        <sz val="10"/>
        <color rgb="FF808080"/>
        <rFont val="Calibri"/>
      </rPr>
      <t xml:space="preserve">2024 P12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P12</t>
    </r>
  </si>
  <si>
    <t xml:space="preserve">总资产</t>
  </si>
  <si>
    <t/>
    <r>
      <rPr>
        <b val="false"/>
        <i val="true"/>
        <strike val="false"/>
        <sz val="10"/>
        <color rgb="FF808080"/>
        <rFont val="Calibri"/>
      </rPr>
      <t xml:space="preserve">2024 P108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P99</t>
    </r>
  </si>
  <si>
    <t xml:space="preserve">归母净资产</t>
  </si>
  <si>
    <t/>
    <r>
      <rPr>
        <b val="false"/>
        <i val="true"/>
        <strike val="false"/>
        <sz val="10"/>
        <color rgb="FF808080"/>
        <rFont val="Calibri"/>
      </rPr>
      <t xml:space="preserve">2024 P110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P101</t>
    </r>
  </si>
  <si>
    <t xml:space="preserve">经营活动现金流净额</t>
  </si>
  <si>
    <t/>
    <r>
      <rPr>
        <b val="false"/>
        <i val="true"/>
        <strike val="false"/>
        <sz val="10"/>
        <color rgb="FF808080"/>
        <rFont val="Calibri"/>
      </rPr>
      <t xml:space="preserve">2024 P115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P106</t>
    </r>
  </si>
  <si>
    <t xml:space="preserve">资产负债率</t>
  </si>
  <si>
    <t xml:space="preserve">二、分产品（业务）毛利率</t>
  </si>
  <si>
    <t xml:space="preserve">业务分部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</si>
  <si>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年毛利率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</si>
  <si>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年毛利率</t>
    </r>
  </si>
  <si>
    <t xml:space="preserve">变动</t>
  </si>
  <si>
    <t xml:space="preserve">数据来源</t>
  </si>
  <si>
    <t xml:space="preserve">运营商网络</t>
  </si>
  <si>
    <t xml:space="preserve">政企业务</t>
  </si>
  <si>
    <t xml:space="preserve">消费者业务</t>
  </si>
  <si>
    <t xml:space="preserve">三、研发投入</t>
  </si>
  <si>
    <t xml:space="preserve">项目</t>
  </si>
  <si>
    <t xml:space="preserve">研发投入总额（含资本化）</t>
  </si>
  <si>
    <t/>
    <r>
      <rPr>
        <b val="false"/>
        <i val="true"/>
        <strike val="false"/>
        <sz val="10"/>
        <color rgb="FF808080"/>
        <rFont val="Calibri"/>
      </rPr>
      <t xml:space="preserve">2024 P31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P29</t>
    </r>
  </si>
  <si>
    <t xml:space="preserve">费用化研发费用（利润表）</t>
  </si>
  <si>
    <t/>
    <r>
      <rPr>
        <b val="false"/>
        <i val="true"/>
        <strike val="false"/>
        <sz val="10"/>
        <color rgb="FF808080"/>
        <rFont val="Calibri"/>
      </rPr>
      <t xml:space="preserve">2024 P111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P102</t>
    </r>
  </si>
  <si>
    <t xml:space="preserve">研发投入占营收比重</t>
  </si>
  <si>
    <t xml:space="preserve">费用化研发费用率</t>
  </si>
  <si>
    <t xml:space="preserve">四、分季度主要财务数据</t>
  </si>
  <si>
    <t xml:space="preserve">季度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</si>
  <si>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年营收</t>
    </r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</si>
  <si>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年归母净利润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</si>
  <si>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年营收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</si>
  <si>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年归母净利润</t>
    </r>
  </si>
  <si>
    <t xml:space="preserve">Q1</t>
  </si>
  <si>
    <t xml:space="preserve">Q2</t>
  </si>
  <si>
    <t xml:space="preserve">Q3</t>
  </si>
  <si>
    <t xml:space="preserve">Q4</t>
  </si>
  <si>
    <t xml:space="preserve">合计</t>
  </si>
  <si>
    <t xml:space="preserve">公式自动求和</t>
  </si>
  <si>
    <t xml:space="preserve">五、资产负债表辅助项目（年末余额）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</si>
  <si>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年末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</si>
  <si>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年末</t>
    </r>
  </si>
  <si>
    <t xml:space="preserve">货币资金</t>
  </si>
  <si>
    <t xml:space="preserve">应收账款（净额）</t>
  </si>
  <si>
    <t xml:space="preserve">存货（净额）</t>
  </si>
  <si>
    <t xml:space="preserve">固定资产（净额）</t>
  </si>
  <si>
    <t/>
    <r>
      <rPr>
        <b val="false"/>
        <i val="true"/>
        <strike val="false"/>
        <sz val="10"/>
        <color rgb="FF808080"/>
        <rFont val="Calibri"/>
      </rPr>
      <t xml:space="preserve">2024 P109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 xml:space="preserve">2025 P100</t>
    </r>
  </si>
  <si>
    <t xml:space="preserve">短期借款</t>
  </si>
  <si>
    <t xml:space="preserve">长期借款（非流动）</t>
  </si>
  <si>
    <t xml:space="preserve">注：长期借款不含一年内到期部分（后者列示于「一年内到期的非流动负债」）。</t>
  </si>
  <si>
    <t xml:space="preserve">六、异常变动标记（黄色预警）</t>
  </si>
  <si>
    <t xml:space="preserve">指标</t>
  </si>
  <si>
    <t xml:space="preserve">变动幅度</t>
  </si>
  <si>
    <t xml:space="preserve">异常原因简述</t>
  </si>
  <si>
    <t xml:space="preserve">-33.32%</t>
  </si>
  <si>
    <t/>
    <r>
      <rPr>
        <b val="false"/>
        <i val="false"/>
        <strike val="false"/>
        <sz val="10"/>
        <color rgb="FF000000"/>
        <rFont val="Noto Sans CJK SC"/>
      </rPr>
      <t>收入增长但毛利率下降（从</t>
    </r>
    <r>
      <rPr>
        <b val="false"/>
        <i val="false"/>
        <strike val="false"/>
        <sz val="10"/>
        <color rgb="FF000000"/>
        <rFont val="Calibri"/>
      </rPr>
      <t>37.9%</t>
    </r>
    <r>
      <rPr>
        <b val="false"/>
        <i val="false"/>
        <strike val="false"/>
        <sz val="10"/>
        <color rgb="FF000000"/>
        <rFont val="Noto Sans CJK SC"/>
      </rPr>
      <t>降至</t>
    </r>
    <r>
      <rPr>
        <b val="false"/>
        <i val="false"/>
        <strike val="false"/>
        <sz val="10"/>
        <color rgb="FF000000"/>
        <rFont val="Calibri"/>
      </rPr>
      <t>30.3%</t>
    </r>
    <r>
      <rPr>
        <b val="false"/>
        <i val="false"/>
        <strike val="false"/>
        <sz val="10"/>
        <color rgb="FF000000"/>
        <rFont val="Noto Sans CJK SC"/>
      </rPr>
      <t>），叠加费用刚性，导致利润大幅下滑。</t>
    </r>
  </si>
  <si>
    <t xml:space="preserve">经营活动现金流</t>
  </si>
  <si>
    <t xml:space="preserve">-65.86%</t>
  </si>
  <si>
    <t/>
    <r>
      <rPr>
        <b val="false"/>
        <i val="false"/>
        <strike val="false"/>
        <sz val="10"/>
        <color rgb="FF000000"/>
        <rFont val="Noto Sans CJK SC"/>
      </rPr>
      <t>主要因购买商品、接受劳务支付的现金增加，以及存货大幅增加（</t>
    </r>
    <r>
      <rPr>
        <b val="false"/>
        <i val="false"/>
        <strike val="false"/>
        <sz val="10"/>
        <color rgb="FF000000"/>
        <rFont val="Calibri"/>
      </rPr>
      <t>+13.96%</t>
    </r>
    <r>
      <rPr>
        <b val="false"/>
        <i val="false"/>
        <strike val="false"/>
        <sz val="10"/>
        <color rgb="FF000000"/>
        <rFont val="Noto Sans CJK SC"/>
      </rPr>
      <t>）。</t>
    </r>
  </si>
  <si>
    <t xml:space="preserve">政企业务毛利率</t>
  </si>
  <si>
    <t xml:space="preserve">-4.36 p.p.</t>
  </si>
  <si>
    <t/>
    <r>
      <rPr>
        <b val="false"/>
        <i val="false"/>
        <strike val="false"/>
        <sz val="10"/>
        <color rgb="FF000000"/>
        <rFont val="Noto Sans CJK SC"/>
      </rPr>
      <t>政企业务收入翻倍（</t>
    </r>
    <r>
      <rPr>
        <b val="false"/>
        <i val="false"/>
        <strike val="false"/>
        <sz val="10"/>
        <color rgb="FF000000"/>
        <rFont val="Calibri"/>
      </rPr>
      <t>+100.49%</t>
    </r>
    <r>
      <rPr>
        <b val="false"/>
        <i val="false"/>
        <strike val="false"/>
        <sz val="10"/>
        <color rgb="FF000000"/>
        <rFont val="Noto Sans CJK SC"/>
      </rPr>
      <t>），但服务器及存储等低毛利产品占比提升，拉低整体毛利率。</t>
    </r>
  </si>
  <si>
    <t xml:space="preserve">七、数据校验</t>
  </si>
  <si>
    <t/>
    <r>
      <rPr>
        <b val="false"/>
        <i val="false"/>
        <strike val="false"/>
        <sz val="9"/>
        <color rgb="FF333333"/>
        <rFont val="Noto Sans CJK SC"/>
      </rPr>
      <t xml:space="preserve">• 总资产 </t>
    </r>
    <r>
      <rPr>
        <b val="false"/>
        <i val="false"/>
        <strike val="false"/>
        <sz val="9"/>
        <color rgb="FF333333"/>
        <rFont val="Calibri"/>
      </rPr>
      <t xml:space="preserve">= </t>
    </r>
    <r>
      <rPr>
        <b val="false"/>
        <i val="false"/>
        <strike val="false"/>
        <sz val="9"/>
        <color rgb="FF333333"/>
        <rFont val="Noto Sans CJK SC"/>
      </rPr>
      <t xml:space="preserve">负债 </t>
    </r>
    <r>
      <rPr>
        <b val="false"/>
        <i val="false"/>
        <strike val="false"/>
        <sz val="9"/>
        <color rgb="FF333333"/>
        <rFont val="Calibri"/>
      </rPr>
      <t xml:space="preserve">+ </t>
    </r>
    <r>
      <rPr>
        <b val="false"/>
        <i val="false"/>
        <strike val="false"/>
        <sz val="9"/>
        <color rgb="FF333333"/>
        <rFont val="Noto Sans CJK SC"/>
      </rPr>
      <t>所有者权益</t>
    </r>
  </si>
  <si>
    <t/>
    <r>
      <rPr>
        <b val="false"/>
        <i val="false"/>
        <strike val="false"/>
        <sz val="9"/>
        <color rgb="FF333333"/>
        <rFont val="Calibri"/>
      </rPr>
      <t xml:space="preserve">  2025</t>
    </r>
    <r>
      <rPr>
        <b val="false"/>
        <i val="false"/>
        <strike val="false"/>
        <sz val="9"/>
        <color rgb="FF333333"/>
        <rFont val="Noto Sans CJK SC"/>
      </rPr>
      <t>：</t>
    </r>
    <r>
      <rPr>
        <b val="false"/>
        <i val="false"/>
        <strike val="false"/>
        <sz val="9"/>
        <color rgb="FF333333"/>
        <rFont val="Calibri"/>
      </rPr>
      <t>142,098.1</t>
    </r>
    <r>
      <rPr>
        <b val="false"/>
        <i val="false"/>
        <strike val="false"/>
        <sz val="9"/>
        <color rgb="FF333333"/>
        <rFont val="Noto Sans CJK SC"/>
      </rPr>
      <t>（负债）</t>
    </r>
    <r>
      <rPr>
        <b val="false"/>
        <i val="false"/>
        <strike val="false"/>
        <sz val="9"/>
        <color rgb="FF333333"/>
        <rFont val="Calibri"/>
      </rPr>
      <t xml:space="preserve">+ 75,641.2</t>
    </r>
    <r>
      <rPr>
        <b val="false"/>
        <i val="false"/>
        <strike val="false"/>
        <sz val="9"/>
        <color rgb="FF333333"/>
        <rFont val="Noto Sans CJK SC"/>
      </rPr>
      <t>（所有者权益）</t>
    </r>
    <r>
      <rPr>
        <b val="false"/>
        <i val="false"/>
        <strike val="false"/>
        <sz val="9"/>
        <color rgb="FF333333"/>
        <rFont val="Calibri"/>
      </rPr>
      <t xml:space="preserve">= 217,739.3 ≈ 217,739.4</t>
    </r>
    <r>
      <rPr>
        <b val="false"/>
        <i val="false"/>
        <strike val="false"/>
        <sz val="9"/>
        <color rgb="FF333333"/>
        <rFont val="Noto Sans CJK SC"/>
      </rPr>
      <t>（报表数）✔</t>
    </r>
  </si>
  <si>
    <t/>
    <r>
      <rPr>
        <b val="false"/>
        <i val="false"/>
        <strike val="false"/>
        <sz val="9"/>
        <color rgb="FF333333"/>
        <rFont val="Calibri"/>
      </rPr>
      <t xml:space="preserve">  2024</t>
    </r>
    <r>
      <rPr>
        <b val="false"/>
        <i val="false"/>
        <strike val="false"/>
        <sz val="9"/>
        <color rgb="FF333333"/>
        <rFont val="Noto Sans CJK SC"/>
      </rPr>
      <t>：</t>
    </r>
    <r>
      <rPr>
        <b val="false"/>
        <i val="false"/>
        <strike val="false"/>
        <sz val="9"/>
        <color rgb="FF333333"/>
        <rFont val="Calibri"/>
      </rPr>
      <t xml:space="preserve">134,212.9 + 73,110.3 = 207,323.2 ✔</t>
    </r>
  </si>
  <si>
    <t xml:space="preserve">• 营业收入与分业务收入合计</t>
  </si>
  <si>
    <t/>
    <r>
      <rPr>
        <b val="false"/>
        <i val="false"/>
        <strike val="false"/>
        <sz val="9"/>
        <color rgb="FF333333"/>
        <rFont val="Calibri"/>
      </rPr>
      <t xml:space="preserve">  2025</t>
    </r>
    <r>
      <rPr>
        <b val="false"/>
        <i val="false"/>
        <strike val="false"/>
        <sz val="9"/>
        <color rgb="FF333333"/>
        <rFont val="Noto Sans CJK SC"/>
      </rPr>
      <t xml:space="preserve">：运营商 </t>
    </r>
    <r>
      <rPr>
        <b val="false"/>
        <i val="false"/>
        <strike val="false"/>
        <sz val="9"/>
        <color rgb="FF333333"/>
        <rFont val="Calibri"/>
      </rPr>
      <t xml:space="preserve">62,857.0 + </t>
    </r>
    <r>
      <rPr>
        <b val="false"/>
        <i val="false"/>
        <strike val="false"/>
        <sz val="9"/>
        <color rgb="FF333333"/>
        <rFont val="Noto Sans CJK SC"/>
      </rPr>
      <t xml:space="preserve">政企 </t>
    </r>
    <r>
      <rPr>
        <b val="false"/>
        <i val="false"/>
        <strike val="false"/>
        <sz val="9"/>
        <color rgb="FF333333"/>
        <rFont val="Calibri"/>
      </rPr>
      <t xml:space="preserve">37,222.1 + </t>
    </r>
    <r>
      <rPr>
        <b val="false"/>
        <i val="false"/>
        <strike val="false"/>
        <sz val="9"/>
        <color rgb="FF333333"/>
        <rFont val="Noto Sans CJK SC"/>
      </rPr>
      <t xml:space="preserve">消费者 </t>
    </r>
    <r>
      <rPr>
        <b val="false"/>
        <i val="false"/>
        <strike val="false"/>
        <sz val="9"/>
        <color rgb="FF333333"/>
        <rFont val="Calibri"/>
      </rPr>
      <t xml:space="preserve">33,816.4 = 133,895.5 ✔</t>
    </r>
  </si>
  <si>
    <t/>
    <r>
      <rPr>
        <b val="false"/>
        <i val="false"/>
        <strike val="false"/>
        <sz val="9"/>
        <color rgb="FF333333"/>
        <rFont val="Calibri"/>
      </rPr>
      <t xml:space="preserve">  2024</t>
    </r>
    <r>
      <rPr>
        <b val="false"/>
        <i val="false"/>
        <strike val="false"/>
        <sz val="9"/>
        <color rgb="FF333333"/>
        <rFont val="Noto Sans CJK SC"/>
      </rPr>
      <t>：</t>
    </r>
    <r>
      <rPr>
        <b val="false"/>
        <i val="false"/>
        <strike val="false"/>
        <sz val="9"/>
        <color rgb="FF333333"/>
        <rFont val="Calibri"/>
      </rPr>
      <t xml:space="preserve">70,326.7 + 18,566.0 + 32,406.1 = 121,298.8 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</si>
</sst>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General"/>
    <numFmt numFmtId="165" formatCode="#,##0.0"/>
    <numFmt numFmtId="166" formatCode="0.0%"/>
    <numFmt numFmtId="167" formatCode="0.00%"/>
    <numFmt numFmtId="168" formatCode="0.00&quot; p.p.&quot;"/>
  </numFmts>
  <fonts count="19">
    <font>
      <sz val="11"/>
      <color theme="1"/>
      <name val="Calibri"/>
      <family val="2"/>
      <scheme val="minor"/>
    </font>
    <font>
      <b val="true"/>
      <sz val="14"/>
      <color rgb="FFFFFFFF"/>
      <name val="Noto Sans CJK SC"/>
      <family val="2"/>
    </font>
    <font>
      <sz val="11"/>
      <color rgb="FF000000"/>
      <name val="Calibri"/>
      <family val="2"/>
    </font>
    <font>
      <b val="true"/>
      <sz val="14"/>
      <color rgb="FFFFFFFF"/>
      <name val="Calibri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Calibri"/>
      <family val="2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0"/>
      <color rgb="FF000000"/>
      <name val="Calibri"/>
      <family val="2"/>
    </font>
    <font>
      <i val="true"/>
      <sz val="10"/>
      <color rgb="FF808080"/>
      <name val="Calibri"/>
      <family val="2"/>
    </font>
    <font>
      <i val="true"/>
      <sz val="10"/>
      <color rgb="FF80808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Calibri"/>
      <family val="2"/>
    </font>
    <font>
      <sz val="9"/>
      <color rgb="FF333333"/>
      <name val="Noto Sans CJK SC"/>
      <family val="2"/>
    </font>
    <font>
      <sz val="9"/>
      <color rgb="FF333333"/>
      <name val="Calibri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F3B5D"/>
        <bgColor/>
      </patternFill>
    </fill>
    <fill>
      <patternFill patternType="solid">
        <fgColor rgb="FF3288B9"/>
        <bgColor/>
      </patternFill>
    </fill>
    <fill>
      <patternFill patternType="solid">
        <fgColor rgb="FFCFE3F1"/>
        <bgColor/>
      </patternFill>
    </fill>
    <fill>
      <patternFill patternType="solid">
        <fgColor rgb="FFFFF2CC"/>
        <bgColor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true" applyFont="true" applyNumberFormat="true" applyProtection="false" borderId="0" fillId="3" fontId="6" numFmtId="164" xfId="0">
      <alignment horizontal="left" vertical="center" wrapText="true"/>
    </xf>
    <xf applyAlignment="true" applyBorder="false" applyFill="true" applyFont="true" applyNumberFormat="true" applyProtection="false" borderId="1" fillId="4" fontId="7" numFmtId="164" xfId="0">
      <alignment horizontal="center" vertical="center" wrapText="true"/>
    </xf>
    <xf applyAlignment="true" applyBorder="false" applyFill="true" applyFont="true" applyNumberFormat="true" applyProtection="false" borderId="1" fillId="4" fontId="8" numFmtId="164" xfId="0">
      <alignment horizontal="center" vertical="center" wrapText="true"/>
    </xf>
    <xf applyAlignment="true" applyBorder="false" applyFill="false" applyFont="true" applyNumberFormat="true" applyProtection="false" borderId="1" fillId="0" fontId="7" numFmtId="164" xfId="0">
      <alignment horizontal="left" vertical="center" wrapText="true"/>
    </xf>
    <xf applyAlignment="true" applyBorder="false" applyFill="false" applyFont="true" applyNumberFormat="true" applyProtection="false" borderId="1" fillId="0" fontId="8" numFmtId="165" xfId="0">
      <alignment horizontal="right" vertical="center" wrapText="true"/>
    </xf>
    <xf applyAlignment="true" applyBorder="false" applyFill="false" applyFont="true" applyNumberFormat="true" applyProtection="false" borderId="1" fillId="0" fontId="11" numFmtId="165" xfId="0">
      <alignment horizontal="right" vertical="center" wrapText="true"/>
    </xf>
    <xf applyAlignment="true" applyBorder="false" applyFill="false" applyFont="true" applyNumberFormat="true" applyProtection="false" borderId="1" fillId="0" fontId="11" numFmtId="166" xfId="0">
      <alignment horizontal="right" vertical="center" wrapText="true"/>
    </xf>
    <xf applyAlignment="true" applyBorder="false" applyFill="false" applyFont="true" applyNumberFormat="true" applyProtection="false" borderId="1" fillId="0" fontId="12" numFmtId="164" xfId="0">
      <alignment horizontal="left" vertical="center" wrapText="true"/>
    </xf>
    <xf applyAlignment="true" applyBorder="false" applyFill="false" applyFont="true" applyNumberFormat="true" applyProtection="false" borderId="1" fillId="0" fontId="14" numFmtId="164" xfId="0">
      <alignment horizontal="left" vertical="center" wrapText="true"/>
    </xf>
    <xf applyAlignment="true" applyBorder="false" applyFill="true" applyFont="true" applyNumberFormat="true" applyProtection="false" borderId="1" fillId="5" fontId="7" numFmtId="164" xfId="0">
      <alignment horizontal="left" vertical="center" wrapText="true"/>
    </xf>
    <xf applyAlignment="true" applyBorder="false" applyFill="true" applyFont="true" applyNumberFormat="true" applyProtection="false" borderId="1" fillId="5" fontId="8" numFmtId="165" xfId="0">
      <alignment horizontal="right" vertical="center" wrapText="true"/>
    </xf>
    <xf applyAlignment="true" applyBorder="false" applyFill="true" applyFont="true" applyNumberFormat="true" applyProtection="false" borderId="1" fillId="5" fontId="11" numFmtId="165" xfId="0">
      <alignment horizontal="right" vertical="center" wrapText="true"/>
    </xf>
    <xf applyAlignment="true" applyBorder="false" applyFill="true" applyFont="true" applyNumberFormat="true" applyProtection="false" borderId="1" fillId="5" fontId="11" numFmtId="166" xfId="0">
      <alignment horizontal="right" vertical="center" wrapText="true"/>
    </xf>
    <xf applyAlignment="true" applyBorder="false" applyFill="true" applyFont="true" applyNumberFormat="true" applyProtection="false" borderId="1" fillId="5" fontId="12" numFmtId="164" xfId="0">
      <alignment horizontal="left" vertical="center" wrapText="true"/>
    </xf>
    <xf applyAlignment="true" applyBorder="false" applyFill="false" applyFont="true" applyNumberFormat="true" applyProtection="false" borderId="1" fillId="0" fontId="11" numFmtId="167" xfId="0">
      <alignment horizontal="right" vertical="center" wrapText="true"/>
    </xf>
    <xf applyAlignment="true" applyBorder="false" applyFill="false" applyFont="true" applyNumberFormat="true" applyProtection="false" borderId="1" fillId="0" fontId="11" numFmtId="168" xfId="0">
      <alignment horizontal="right" vertical="center" wrapText="true"/>
    </xf>
    <xf applyAlignment="true" applyBorder="false" applyFill="false" applyFont="true" applyNumberFormat="true" applyProtection="false" borderId="1" fillId="0" fontId="11" numFmtId="164" xfId="0">
      <alignment horizontal="center" vertical="center" wrapText="true"/>
    </xf>
    <xf applyAlignment="true" applyBorder="false" applyFill="false" applyFont="true" applyNumberFormat="true" applyProtection="false" borderId="1" fillId="0" fontId="13" numFmtId="164" xfId="0">
      <alignment horizontal="left" vertical="center" wrapText="true"/>
    </xf>
    <xf applyAlignment="true" applyBorder="false" applyFill="true" applyFont="true" applyNumberFormat="true" applyProtection="false" borderId="1" fillId="4" fontId="8" numFmtId="165" xfId="0">
      <alignment horizontal="right" vertical="center" wrapText="true"/>
    </xf>
    <xf applyAlignment="true" applyBorder="false" applyFill="true" applyFont="true" applyNumberFormat="true" applyProtection="false" borderId="1" fillId="4" fontId="13" numFmtId="164" xfId="0">
      <alignment horizontal="left" vertical="center" wrapText="true"/>
    </xf>
    <xf applyAlignment="true" applyBorder="false" applyFill="true" applyFont="true" applyNumberFormat="true" applyProtection="false" borderId="1" fillId="5" fontId="14" numFmtId="164" xfId="0">
      <alignment horizontal="left" vertical="center" wrapText="true"/>
    </xf>
    <xf applyAlignment="true" applyBorder="false" applyFill="false" applyFont="true" applyNumberFormat="true" applyProtection="false" borderId="0" fillId="0" fontId="17" numFmtId="164" xfId="0">
      <alignment horizontal="left" vertical="center" wrapText="true"/>
    </xf>
    <xf applyAlignment="true" applyBorder="false" applyFill="true" applyFont="true" applyNumberFormat="true" applyProtection="false" borderId="1" fillId="5" fontId="11" numFmtId="164" xfId="0">
      <alignment horizontal="center" vertical="center" wrapText="true"/>
    </xf>
    <xf applyAlignment="true" applyBorder="false" applyFill="false" applyFont="true" applyNumberFormat="true" applyProtection="false" borderId="0" fillId="0" fontId="18" numFmtId="164" xfId="0">
      <alignment horizontal="left" vertical="center" wrapText="true"/>
    </xf>
    <xf applyAlignment="true" applyBorder="false" applyFill="false" applyFont="true" applyNumberFormat="true" applyProtection="false" borderId="0" fillId="0" fontId="11" numFmtId="164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ggyrH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8" defaultRowHeight="18"/>
  <cols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5"/>
    <col collapsed="false" customWidth="true" hidden="false" max="5" min="5" style="0" width="13"/>
    <col collapsed="false" customWidth="true" hidden="false" max="6" min="6" style="0" width="34"/>
    <col collapsed="false" customWidth="true" hidden="false" max="1" min="1" style="0" width="28"/>
  </cols>
  <sheetData>
    <row customHeight="true" ht="34" r="1">
      <c r="A1" s="1" t="s">
        <v>1</v>
      </c>
      <c r="B1" s="1"/>
      <c r="C1" s="1"/>
      <c r="D1" s="1"/>
      <c r="E1" s="1"/>
      <c r="F1" s="1"/>
    </row>
    <row customHeight="true" ht="18" r="2">
      <c r="A2" s="2" t="s">
        <v>2</v>
      </c>
      <c r="B2" s="2"/>
      <c r="C2" s="2"/>
      <c r="D2" s="2"/>
      <c r="E2" s="2"/>
      <c r="F2" s="2"/>
    </row>
    <row r="3"/>
    <row customHeight="true" ht="23" r="4">
      <c r="A4" s="3" t="s">
        <v>3</v>
      </c>
      <c r="B4" s="3"/>
      <c r="C4" s="3"/>
      <c r="D4" s="3"/>
      <c r="E4" s="3"/>
      <c r="F4" s="3"/>
    </row>
    <row customHeight="true" ht="28" r="5">
      <c r="A5" s="4" t="s">
        <v>4</v>
      </c>
      <c r="B5" s="5" t="s">
        <v>5</v>
      </c>
      <c r="C5" s="5" t="s">
        <v>6</v>
      </c>
      <c r="D5" s="4" t="s">
        <v>7</v>
      </c>
      <c r="E5" s="4" t="s">
        <v>8</v>
      </c>
      <c r="F5" s="4" t="s">
        <v>9</v>
      </c>
    </row>
    <row customHeight="true" ht="14" r="6">
      <c r="A6" s="6" t="s">
        <v>10</v>
      </c>
      <c r="B6" s="7">
        <v>121298.8</v>
      </c>
      <c r="C6" s="7">
        <v>133895.5</v>
      </c>
      <c r="D6" s="8">
        <f>C6-B6</f>
      </c>
      <c r="E6" s="9">
        <f>IF(B6=0,"-",D6/B6)</f>
      </c>
      <c r="F6" s="10" t="s">
        <v>11</v>
      </c>
    </row>
    <row customHeight="true" ht="14" r="7">
      <c r="A7" s="11" t="s">
        <v>12</v>
      </c>
      <c r="B7" s="8">
        <v>75311.1</v>
      </c>
      <c r="C7" s="8">
        <v>93391.3</v>
      </c>
      <c r="D7" s="8">
        <f>C7-B7</f>
      </c>
      <c r="E7" s="9">
        <f>IF(B7=0,"-",D7/B7)</f>
      </c>
      <c r="F7" s="10" t="s">
        <v>13</v>
      </c>
    </row>
    <row customHeight="true" ht="14" r="8">
      <c r="A8" s="12" t="s">
        <v>14</v>
      </c>
      <c r="B8" s="13">
        <v>8424.8</v>
      </c>
      <c r="C8" s="13">
        <v>5617.7</v>
      </c>
      <c r="D8" s="14">
        <f>C8-B8</f>
      </c>
      <c r="E8" s="15">
        <f>IF(B8=0,"-",D8/B8)</f>
      </c>
      <c r="F8" s="16" t="s">
        <v>11</v>
      </c>
    </row>
    <row customHeight="true" ht="14" r="9">
      <c r="A9" s="11" t="s">
        <v>15</v>
      </c>
      <c r="B9" s="17">
        <v>0.0695</v>
      </c>
      <c r="C9" s="17">
        <v>0.042</v>
      </c>
      <c r="D9" s="18">
        <f>(C9-B9)*100</f>
      </c>
      <c r="E9" s="19" t="s">
        <v>16</v>
      </c>
      <c r="F9" s="20" t="s">
        <v>17</v>
      </c>
    </row>
    <row customHeight="true" ht="14" r="10">
      <c r="A10" s="11" t="s">
        <v>18</v>
      </c>
      <c r="B10" s="17">
        <v>0.1197</v>
      </c>
      <c r="C10" s="17">
        <v>0.0758</v>
      </c>
      <c r="D10" s="18">
        <f>(C10-B10)*100</f>
      </c>
      <c r="E10" s="19" t="s">
        <v>16</v>
      </c>
      <c r="F10" s="10" t="s">
        <v>19</v>
      </c>
    </row>
    <row customHeight="true" ht="14" r="11">
      <c r="A11" s="6" t="s">
        <v>20</v>
      </c>
      <c r="B11" s="7">
        <v>207323.2</v>
      </c>
      <c r="C11" s="7">
        <v>217739.4</v>
      </c>
      <c r="D11" s="8">
        <f>C11-B11</f>
      </c>
      <c r="E11" s="9">
        <f>IF(B11=0,"-",D11/B11)</f>
      </c>
      <c r="F11" s="10" t="s">
        <v>21</v>
      </c>
    </row>
    <row customHeight="true" ht="14" r="12">
      <c r="A12" s="11" t="s">
        <v>22</v>
      </c>
      <c r="B12" s="8">
        <v>72808.5</v>
      </c>
      <c r="C12" s="8">
        <v>75425.6</v>
      </c>
      <c r="D12" s="8">
        <f>C12-B12</f>
      </c>
      <c r="E12" s="9">
        <f>IF(B12=0,"-",D12/B12)</f>
      </c>
      <c r="F12" s="10" t="s">
        <v>23</v>
      </c>
    </row>
    <row customHeight="true" ht="14" r="13">
      <c r="A13" s="12" t="s">
        <v>24</v>
      </c>
      <c r="B13" s="13">
        <v>11479.8</v>
      </c>
      <c r="C13" s="13">
        <v>3918.7</v>
      </c>
      <c r="D13" s="14">
        <f>C13-B13</f>
      </c>
      <c r="E13" s="15">
        <f>IF(B13=0,"-",D13/B13)</f>
      </c>
      <c r="F13" s="16" t="s">
        <v>25</v>
      </c>
    </row>
    <row customHeight="true" ht="14" r="14">
      <c r="A14" s="11" t="s">
        <v>26</v>
      </c>
      <c r="B14" s="17">
        <v>0.6474</v>
      </c>
      <c r="C14" s="17">
        <v>0.6526</v>
      </c>
      <c r="D14" s="18">
        <f>(C14-B14)*100</f>
      </c>
      <c r="E14" s="19" t="s">
        <v>16</v>
      </c>
      <c r="F14" s="10" t="s">
        <v>19</v>
      </c>
    </row>
    <row r="15"/>
    <row customHeight="true" ht="23" r="16">
      <c r="A16" s="3" t="s">
        <v>27</v>
      </c>
      <c r="B16" s="3"/>
      <c r="C16" s="3"/>
      <c r="D16" s="3"/>
      <c r="E16" s="3"/>
      <c r="F16" s="3"/>
    </row>
    <row customHeight="true" ht="28" r="17">
      <c r="A17" s="4" t="s">
        <v>28</v>
      </c>
      <c r="B17" s="5" t="s">
        <v>29</v>
      </c>
      <c r="C17" s="5" t="s">
        <v>30</v>
      </c>
      <c r="D17" s="4" t="s">
        <v>31</v>
      </c>
      <c r="E17" s="4"/>
      <c r="F17" s="4" t="s">
        <v>32</v>
      </c>
    </row>
    <row customHeight="true" ht="14" r="18">
      <c r="A18" s="11" t="s">
        <v>33</v>
      </c>
      <c r="B18" s="17">
        <v>0.509</v>
      </c>
      <c r="C18" s="17">
        <v>0.4809</v>
      </c>
      <c r="D18" s="18">
        <f>(C18-B18)*100</f>
      </c>
      <c r="E18" s="18"/>
      <c r="F18" s="10" t="s">
        <v>13</v>
      </c>
    </row>
    <row customHeight="true" ht="14" r="19">
      <c r="A19" s="11" t="s">
        <v>34</v>
      </c>
      <c r="B19" s="17">
        <v>0.1533</v>
      </c>
      <c r="C19" s="17">
        <v>0.1097</v>
      </c>
      <c r="D19" s="18">
        <f>(C19-B19)*100</f>
      </c>
      <c r="E19" s="18"/>
      <c r="F19" s="10" t="s">
        <v>13</v>
      </c>
    </row>
    <row customHeight="true" ht="14" r="20">
      <c r="A20" s="11" t="s">
        <v>35</v>
      </c>
      <c r="B20" s="17">
        <v>0.2266</v>
      </c>
      <c r="C20" s="17">
        <v>0.1831</v>
      </c>
      <c r="D20" s="18">
        <f>(C20-B20)*100</f>
      </c>
      <c r="E20" s="18"/>
      <c r="F20" s="10" t="s">
        <v>13</v>
      </c>
    </row>
    <row r="21"/>
    <row customHeight="true" ht="23" r="22">
      <c r="A22" s="3" t="s">
        <v>36</v>
      </c>
      <c r="B22" s="3"/>
      <c r="C22" s="3"/>
      <c r="D22" s="3"/>
      <c r="E22" s="3"/>
      <c r="F22" s="3"/>
    </row>
    <row customHeight="true" ht="28" r="23">
      <c r="A23" s="4" t="s">
        <v>37</v>
      </c>
      <c r="B23" s="5" t="s">
        <v>5</v>
      </c>
      <c r="C23" s="5" t="s">
        <v>6</v>
      </c>
      <c r="D23" s="4" t="s">
        <v>31</v>
      </c>
      <c r="E23" s="4"/>
      <c r="F23" s="4" t="s">
        <v>32</v>
      </c>
    </row>
    <row customHeight="true" ht="14" r="24">
      <c r="A24" s="11" t="s">
        <v>38</v>
      </c>
      <c r="B24" s="8">
        <v>25508.9</v>
      </c>
      <c r="C24" s="8">
        <v>24475.1</v>
      </c>
      <c r="D24" s="9">
        <f>IF(B24=0,"-",(C24-B24)/B24)</f>
      </c>
      <c r="E24" s="9"/>
      <c r="F24" s="10" t="s">
        <v>39</v>
      </c>
    </row>
    <row customHeight="true" ht="14" r="25">
      <c r="A25" s="11" t="s">
        <v>40</v>
      </c>
      <c r="B25" s="8">
        <v>24031.5</v>
      </c>
      <c r="C25" s="8">
        <v>22755</v>
      </c>
      <c r="D25" s="9">
        <f>IF(B25=0,"-",(C25-B25)/B25)</f>
      </c>
      <c r="E25" s="9"/>
      <c r="F25" s="10" t="s">
        <v>41</v>
      </c>
    </row>
    <row customHeight="true" ht="14" r="26">
      <c r="A26" s="11" t="s">
        <v>42</v>
      </c>
      <c r="B26" s="17">
        <v>0.2103</v>
      </c>
      <c r="C26" s="17">
        <v>0.1828</v>
      </c>
      <c r="D26" s="18">
        <f>(C26-B26)*100</f>
      </c>
      <c r="E26" s="19" t="s">
        <v>16</v>
      </c>
      <c r="F26" s="10" t="s">
        <v>39</v>
      </c>
    </row>
    <row customHeight="true" ht="14" r="27">
      <c r="A27" s="11" t="s">
        <v>43</v>
      </c>
      <c r="B27" s="17">
        <v>0.1981</v>
      </c>
      <c r="C27" s="17">
        <v>0.1699</v>
      </c>
      <c r="D27" s="18">
        <f>(C27-B27)*100</f>
      </c>
      <c r="E27" s="19" t="s">
        <v>16</v>
      </c>
      <c r="F27" s="10" t="s">
        <v>41</v>
      </c>
    </row>
    <row r="28"/>
    <row customHeight="true" ht="23" r="29">
      <c r="A29" s="3" t="s">
        <v>44</v>
      </c>
      <c r="B29" s="3"/>
      <c r="C29" s="3"/>
      <c r="D29" s="3"/>
      <c r="E29" s="3"/>
      <c r="F29" s="3"/>
    </row>
    <row customHeight="true" ht="28" r="30">
      <c r="A30" s="4" t="s">
        <v>45</v>
      </c>
      <c r="B30" s="5" t="s">
        <v>46</v>
      </c>
      <c r="C30" s="5" t="s">
        <v>47</v>
      </c>
      <c r="D30" s="5" t="s">
        <v>48</v>
      </c>
      <c r="E30" s="5" t="s">
        <v>49</v>
      </c>
      <c r="F30" s="4" t="s">
        <v>32</v>
      </c>
    </row>
    <row customHeight="true" ht="14" r="31">
      <c r="A31" s="19" t="s">
        <v>50</v>
      </c>
      <c r="B31" s="8">
        <v>30578.3</v>
      </c>
      <c r="C31" s="8">
        <v>2741</v>
      </c>
      <c r="D31" s="8">
        <v>32968.2</v>
      </c>
      <c r="E31" s="8">
        <v>2453.2</v>
      </c>
      <c r="F31" s="10" t="s">
        <v>19</v>
      </c>
    </row>
    <row customHeight="true" ht="14" r="32">
      <c r="A32" s="19" t="s">
        <v>51</v>
      </c>
      <c r="B32" s="8">
        <v>31908.8</v>
      </c>
      <c r="C32" s="8">
        <v>2991.4</v>
      </c>
      <c r="D32" s="8">
        <v>38584.5</v>
      </c>
      <c r="E32" s="8">
        <v>2604.4</v>
      </c>
      <c r="F32" s="10" t="s">
        <v>19</v>
      </c>
    </row>
    <row customHeight="true" ht="14" r="33">
      <c r="A33" s="19" t="s">
        <v>52</v>
      </c>
      <c r="B33" s="8">
        <v>27557.4</v>
      </c>
      <c r="C33" s="8">
        <v>2174</v>
      </c>
      <c r="D33" s="8">
        <v>28966.9</v>
      </c>
      <c r="E33" s="8">
        <v>264.4</v>
      </c>
      <c r="F33" s="10" t="s">
        <v>19</v>
      </c>
    </row>
    <row customHeight="true" ht="14" r="34">
      <c r="A34" s="19" t="s">
        <v>53</v>
      </c>
      <c r="B34" s="8">
        <v>31254.3</v>
      </c>
      <c r="C34" s="8">
        <v>518.4</v>
      </c>
      <c r="D34" s="8">
        <v>33375.9</v>
      </c>
      <c r="E34" s="8">
        <v>295.7</v>
      </c>
      <c r="F34" s="10" t="s">
        <v>19</v>
      </c>
    </row>
    <row customHeight="true" ht="14" r="35">
      <c r="A35" s="4" t="s">
        <v>54</v>
      </c>
      <c r="B35" s="21">
        <f>SUM(B31:B34)</f>
      </c>
      <c r="C35" s="21">
        <f>SUM(C31:C34)</f>
      </c>
      <c r="D35" s="21">
        <f>SUM(D31:D34)</f>
      </c>
      <c r="E35" s="21">
        <f>SUM(E31:E34)</f>
      </c>
      <c r="F35" s="22" t="s">
        <v>55</v>
      </c>
    </row>
    <row r="36"/>
    <row customHeight="true" ht="23" r="37">
      <c r="A37" s="3" t="s">
        <v>56</v>
      </c>
      <c r="B37" s="3"/>
      <c r="C37" s="3"/>
      <c r="D37" s="3"/>
      <c r="E37" s="3"/>
      <c r="F37" s="3"/>
    </row>
    <row customHeight="true" ht="28" r="38">
      <c r="A38" s="4" t="s">
        <v>37</v>
      </c>
      <c r="B38" s="5" t="s">
        <v>57</v>
      </c>
      <c r="C38" s="5" t="s">
        <v>58</v>
      </c>
      <c r="D38" s="4" t="s">
        <v>7</v>
      </c>
      <c r="E38" s="4" t="s">
        <v>8</v>
      </c>
      <c r="F38" s="4" t="s">
        <v>32</v>
      </c>
    </row>
    <row customHeight="true" ht="14" r="39">
      <c r="A39" s="11" t="s">
        <v>59</v>
      </c>
      <c r="B39" s="8">
        <v>43885.3</v>
      </c>
      <c r="C39" s="8">
        <v>33751.1</v>
      </c>
      <c r="D39" s="8">
        <f>C39-B39</f>
      </c>
      <c r="E39" s="9">
        <f>IF(B39=0,"-",D39/B39)</f>
      </c>
      <c r="F39" s="10" t="s">
        <v>21</v>
      </c>
    </row>
    <row customHeight="true" ht="14" r="40">
      <c r="A40" s="11" t="s">
        <v>60</v>
      </c>
      <c r="B40" s="8">
        <v>21288.4</v>
      </c>
      <c r="C40" s="8">
        <v>21670.1</v>
      </c>
      <c r="D40" s="8">
        <f>C40-B40</f>
      </c>
      <c r="E40" s="9">
        <f>IF(B40=0,"-",D40/B40)</f>
      </c>
      <c r="F40" s="10" t="s">
        <v>21</v>
      </c>
    </row>
    <row customHeight="true" ht="14" r="41">
      <c r="A41" s="23" t="s">
        <v>61</v>
      </c>
      <c r="B41" s="14">
        <v>41257.7</v>
      </c>
      <c r="C41" s="14">
        <v>47017.1</v>
      </c>
      <c r="D41" s="14">
        <f>C41-B41</f>
      </c>
      <c r="E41" s="15">
        <f>IF(B41=0,"-",D41/B41)</f>
      </c>
      <c r="F41" s="16" t="s">
        <v>21</v>
      </c>
    </row>
    <row customHeight="true" ht="14" r="42">
      <c r="A42" s="11" t="s">
        <v>62</v>
      </c>
      <c r="B42" s="8">
        <v>14178.4</v>
      </c>
      <c r="C42" s="8">
        <v>13421.9</v>
      </c>
      <c r="D42" s="8">
        <f>C42-B42</f>
      </c>
      <c r="E42" s="9">
        <f>IF(B42=0,"-",D42/B42)</f>
      </c>
      <c r="F42" s="10" t="s">
        <v>63</v>
      </c>
    </row>
    <row customHeight="true" ht="14" r="43">
      <c r="A43" s="11" t="s">
        <v>64</v>
      </c>
      <c r="B43" s="8">
        <v>7027.1</v>
      </c>
      <c r="C43" s="8">
        <v>3628.7</v>
      </c>
      <c r="D43" s="8">
        <f>C43-B43</f>
      </c>
      <c r="E43" s="9">
        <f>IF(B43=0,"-",D43/B43)</f>
      </c>
      <c r="F43" s="10" t="s">
        <v>21</v>
      </c>
    </row>
    <row customHeight="true" ht="14" r="44">
      <c r="A44" s="11" t="s">
        <v>65</v>
      </c>
      <c r="B44" s="8">
        <v>44058.9</v>
      </c>
      <c r="C44" s="8">
        <v>45712.5</v>
      </c>
      <c r="D44" s="8">
        <f>C44-B44</f>
      </c>
      <c r="E44" s="9">
        <f>IF(B44=0,"-",D44/B44)</f>
      </c>
      <c r="F44" s="10" t="s">
        <v>63</v>
      </c>
    </row>
    <row customHeight="true" ht="20" r="45">
      <c r="A45" s="24" t="s">
        <v>66</v>
      </c>
      <c r="B45" s="24"/>
      <c r="C45" s="24"/>
      <c r="D45" s="24"/>
      <c r="E45" s="24"/>
      <c r="F45" s="24"/>
    </row>
    <row r="46"/>
    <row customHeight="true" ht="23" r="47">
      <c r="A47" s="3" t="s">
        <v>67</v>
      </c>
      <c r="B47" s="3"/>
      <c r="C47" s="3"/>
      <c r="D47" s="3"/>
      <c r="E47" s="3"/>
      <c r="F47" s="3"/>
    </row>
    <row customHeight="true" ht="28" r="48">
      <c r="A48" s="4" t="s">
        <v>68</v>
      </c>
      <c r="B48" s="4" t="s">
        <v>69</v>
      </c>
      <c r="C48" s="4" t="s">
        <v>70</v>
      </c>
      <c r="D48" s="4"/>
      <c r="E48" s="4"/>
      <c r="F48" s="4"/>
    </row>
    <row customHeight="true" ht="34" r="49">
      <c r="A49" s="12" t="s">
        <v>14</v>
      </c>
      <c r="B49" s="25" t="s">
        <v>71</v>
      </c>
      <c r="C49" s="23" t="s">
        <v>72</v>
      </c>
      <c r="D49" s="23"/>
      <c r="E49" s="23"/>
      <c r="F49" s="23"/>
    </row>
    <row customHeight="true" ht="34" r="50">
      <c r="A50" s="12" t="s">
        <v>73</v>
      </c>
      <c r="B50" s="25" t="s">
        <v>74</v>
      </c>
      <c r="C50" s="23" t="s">
        <v>75</v>
      </c>
      <c r="D50" s="23"/>
      <c r="E50" s="23"/>
      <c r="F50" s="23"/>
    </row>
    <row customHeight="true" ht="34" r="51">
      <c r="A51" s="12" t="s">
        <v>76</v>
      </c>
      <c r="B51" s="25" t="s">
        <v>77</v>
      </c>
      <c r="C51" s="23" t="s">
        <v>78</v>
      </c>
      <c r="D51" s="23"/>
      <c r="E51" s="23"/>
      <c r="F51" s="23"/>
    </row>
    <row r="52"/>
    <row customHeight="true" ht="23" r="53">
      <c r="A53" s="3" t="s">
        <v>79</v>
      </c>
      <c r="B53" s="3"/>
      <c r="C53" s="3"/>
      <c r="D53" s="3"/>
      <c r="E53" s="3"/>
      <c r="F53" s="3"/>
    </row>
    <row customHeight="true" ht="20" r="54">
      <c r="A54" s="24" t="s">
        <v>80</v>
      </c>
      <c r="B54" s="24"/>
      <c r="C54" s="24"/>
      <c r="D54" s="24"/>
      <c r="E54" s="24"/>
      <c r="F54" s="24"/>
    </row>
    <row customHeight="true" ht="20" r="55">
      <c r="A55" s="26" t="s">
        <v>81</v>
      </c>
      <c r="B55" s="26"/>
      <c r="C55" s="26"/>
      <c r="D55" s="26"/>
      <c r="E55" s="26"/>
      <c r="F55" s="26"/>
    </row>
    <row customHeight="true" ht="20" r="56">
      <c r="A56" s="26" t="s">
        <v>82</v>
      </c>
      <c r="B56" s="26"/>
      <c r="C56" s="26"/>
      <c r="D56" s="26"/>
      <c r="E56" s="26"/>
      <c r="F56" s="26"/>
    </row>
    <row customHeight="true" ht="20" r="57">
      <c r="A57" s="27"/>
      <c r="B57" s="27"/>
      <c r="C57" s="27"/>
      <c r="D57" s="27"/>
      <c r="E57" s="27"/>
      <c r="F57" s="27"/>
    </row>
    <row customHeight="true" ht="20" r="58">
      <c r="A58" s="24" t="s">
        <v>83</v>
      </c>
      <c r="B58" s="24"/>
      <c r="C58" s="24"/>
      <c r="D58" s="24"/>
      <c r="E58" s="24"/>
      <c r="F58" s="24"/>
    </row>
    <row customHeight="true" ht="20" r="59">
      <c r="A59" s="26" t="s">
        <v>84</v>
      </c>
      <c r="B59" s="26"/>
      <c r="C59" s="26"/>
      <c r="D59" s="26"/>
      <c r="E59" s="26"/>
      <c r="F59" s="26"/>
    </row>
    <row customHeight="true" ht="20" r="60">
      <c r="A60" s="26" t="s">
        <v>85</v>
      </c>
      <c r="B60" s="26"/>
      <c r="C60" s="26"/>
      <c r="D60" s="26"/>
      <c r="E60" s="26"/>
      <c r="F60" s="26"/>
    </row>
  </sheetData>
  <mergeCells>
    <mergeCell ref="A1:F1"/>
    <mergeCell ref="A2:F2"/>
    <mergeCell ref="A4:F4"/>
    <mergeCell ref="A16:F16"/>
    <mergeCell ref="D18:E18"/>
    <mergeCell ref="D19:E19"/>
    <mergeCell ref="D20:E20"/>
    <mergeCell ref="A22:F22"/>
    <mergeCell ref="D24:E24"/>
    <mergeCell ref="D25:E25"/>
    <mergeCell ref="A29:F29"/>
    <mergeCell ref="A37:F37"/>
    <mergeCell ref="A45:F45"/>
    <mergeCell ref="A47:F47"/>
    <mergeCell ref="C49:F49"/>
    <mergeCell ref="C50:F50"/>
    <mergeCell ref="C51:F51"/>
    <mergeCell ref="A53:F53"/>
    <mergeCell ref="A54:F54"/>
    <mergeCell ref="A55:F55"/>
    <mergeCell ref="A56:F56"/>
    <mergeCell ref="A57:F57"/>
    <mergeCell ref="A58:F58"/>
    <mergeCell ref="A59:F59"/>
    <mergeCell ref="A60:F60"/>
  </mergeCells>
  <printOptions gridLinesSet="true"/>
  <pageMargins bottom="1" footer="0.511811023622047" header="0.511811023622047" left="0.75" right="0.75" top="1"/>
  <pageSetup cellComments="none" copies="1" horizontalDpi="300" orientation="portrait" pageOrder="downThenOver" paperSize="1" scale="1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{"Label":"1","ContentProducer":"001191110102MACQD9K64010000","ProduceID":"7674906135422701887","ReservedCode1":"","ContentPropagator":"","PropagateID":"","ReservedCode2":""}</vt:lpwstr>
  </property>
</Properties>
</file>