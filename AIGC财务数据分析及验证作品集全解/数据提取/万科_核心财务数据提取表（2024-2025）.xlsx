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心财务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<sst xmlns="http://schemas.openxmlformats.org/spreadsheetml/2006/main" count="85" uniqueCount="85">
  <si>
    <t xml:space="preserve">  </t>
  </si>
  <si>
    <t/>
    <r>
      <rPr>
        <b val="true"/>
        <i val="false"/>
        <strike val="false"/>
        <sz val="14"/>
        <color rgb="FFFFFFFF"/>
        <rFont val="Noto Sans CJK SC"/>
      </rPr>
      <t xml:space="preserve">万科企业 核心财务数据提取表（</t>
    </r>
    <r>
      <rPr>
        <b val="true"/>
        <i val="false"/>
        <strike val="false"/>
        <sz val="14"/>
        <color rgb="FFFFFFFF"/>
        <rFont val="Calibri"/>
      </rPr>
      <t>2024-2025</t>
    </r>
    <r>
      <rPr>
        <b val="true"/>
        <i val="false"/>
        <strike val="false"/>
        <sz val="14"/>
        <color rgb="FFFFFFFF"/>
        <rFont val="Noto Sans CJK SC"/>
      </rPr>
      <t>）</t>
    </r>
  </si>
  <si>
    <t xml:space="preserve">一、核心经营业绩</t>
  </si>
  <si>
    <t xml:space="preserve">指标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</si>
  <si>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</si>
  <si>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</t>
    </r>
  </si>
  <si>
    <t xml:space="preserve">变动额</t>
  </si>
  <si>
    <t/>
    <r>
      <rPr>
        <b val="true"/>
        <i val="false"/>
        <strike val="false"/>
        <sz val="10"/>
        <color rgb="FF000000"/>
        <rFont val="Noto Sans CJK SC"/>
      </rPr>
      <t>变动</t>
    </r>
    <r>
      <rPr>
        <b val="true"/>
        <i val="false"/>
        <strike val="false"/>
        <sz val="10"/>
        <color rgb="FF000000"/>
        <rFont val="Calibri"/>
      </rPr>
      <t>%</t>
    </r>
  </si>
  <si>
    <t/>
    <r>
      <rPr>
        <b val="true"/>
        <i val="false"/>
        <strike val="false"/>
        <sz val="10"/>
        <color rgb="FF000000"/>
        <rFont val="Noto Sans CJK SC"/>
      </rPr>
      <t>数据来源</t>
    </r>
    <r>
      <rPr>
        <b val="true"/>
        <i val="false"/>
        <strike val="false"/>
        <sz val="10"/>
        <color rgb="FF000000"/>
        <rFont val="Calibri"/>
      </rPr>
      <t>/</t>
    </r>
    <r>
      <rPr>
        <b val="true"/>
        <i val="false"/>
        <strike val="false"/>
        <sz val="10"/>
        <color rgb="FF000000"/>
        <rFont val="Noto Sans CJK SC"/>
      </rPr>
      <t>页码</t>
    </r>
  </si>
  <si>
    <t xml:space="preserve">营业收入（亿元）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</si>
  <si>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</si>
  <si>
    <t xml:space="preserve">营业成本（亿元）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</si>
  <si>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P16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P16</t>
    </r>
  </si>
  <si>
    <t xml:space="preserve">归母净利润（亿元）</t>
  </si>
  <si>
    <t xml:space="preserve">归母净利润率</t>
  </si>
  <si>
    <t xml:space="preserve">-</t>
  </si>
  <si>
    <t xml:space="preserve">计算</t>
  </si>
  <si>
    <t/>
    <r>
      <rPr>
        <b val="false"/>
        <i val="false"/>
        <strike val="false"/>
        <sz val="10"/>
        <color rgb="FF000000"/>
        <rFont val="Noto Sans CJK SC"/>
      </rPr>
      <t>加权平均</t>
    </r>
    <r>
      <rPr>
        <b val="false"/>
        <i val="false"/>
        <strike val="false"/>
        <sz val="10"/>
        <color rgb="FF000000"/>
        <rFont val="Calibri"/>
      </rPr>
      <t>ROE</t>
    </r>
  </si>
  <si>
    <t xml:space="preserve">经营活动现金流净额（亿元，含税）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</si>
  <si>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P11,P158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</si>
  <si>
    <t xml:space="preserve">分季度归母净利润（亿元）</t>
  </si>
  <si>
    <t xml:space="preserve">Q1:-3.62, Q2:-94.91, Q3:-80.91, Q4:-315.35</t>
  </si>
  <si>
    <t xml:space="preserve">Q1:-62.46, Q2:-57.00, Q3:-160.69, Q4:-605.41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</si>
  <si>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P12</t>
    </r>
  </si>
  <si>
    <t xml:space="preserve">二、资产与负债状况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</si>
  <si>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年末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</si>
  <si>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年末</t>
    </r>
  </si>
  <si>
    <t xml:space="preserve">总资产（亿元）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</si>
  <si>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P11,P152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</si>
  <si>
    <t xml:space="preserve">归母净资产（亿元）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</si>
  <si>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P11,P153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P11</t>
    </r>
  </si>
  <si>
    <t xml:space="preserve">资产负债率</t>
  </si>
  <si>
    <t xml:space="preserve">有息负债总额（亿元）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</si>
  <si>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P30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P31</t>
    </r>
  </si>
  <si>
    <t xml:space="preserve">三、辅助财务数据（合并报表年末余额，单位：亿元）</t>
  </si>
  <si>
    <t xml:space="preserve">项目</t>
  </si>
  <si>
    <t xml:space="preserve">数据来源（附注）</t>
  </si>
  <si>
    <t xml:space="preserve">货币资金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</si>
  <si>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P152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P151</t>
    </r>
  </si>
  <si>
    <t xml:space="preserve">应收账款</t>
  </si>
  <si>
    <t xml:space="preserve">存货</t>
  </si>
  <si>
    <t xml:space="preserve">固定资产</t>
  </si>
  <si>
    <t xml:space="preserve">短期借款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</si>
  <si>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P153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P152</t>
    </r>
  </si>
  <si>
    <t xml:space="preserve">长期借款</t>
  </si>
  <si>
    <t xml:space="preserve">应付债券（含一年内到期）</t>
  </si>
  <si>
    <t xml:space="preserve">四、毛利率及分产品数据</t>
  </si>
  <si>
    <t xml:space="preserve">分行业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</si>
  <si>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年毛利率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</si>
  <si>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年毛利率</t>
    </r>
  </si>
  <si>
    <t xml:space="preserve">变动</t>
  </si>
  <si>
    <t xml:space="preserve">数据来源</t>
  </si>
  <si>
    <t xml:space="preserve">房地产开发及相关资产经营业务</t>
  </si>
  <si>
    <t xml:space="preserve">物业服务</t>
  </si>
  <si>
    <t xml:space="preserve">其他业务</t>
  </si>
  <si>
    <t xml:space="preserve">主营业务合计</t>
  </si>
  <si>
    <t xml:space="preserve">五、其他关键指标</t>
  </si>
  <si>
    <t xml:space="preserve">研发费用（亿元）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</si>
  <si>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P32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P32</t>
    </r>
  </si>
  <si>
    <t xml:space="preserve">研发费用占营收比重</t>
  </si>
  <si>
    <t/>
    <r>
      <rPr>
        <b val="false"/>
        <i val="true"/>
        <strike val="false"/>
        <sz val="10"/>
        <color rgb="FF808080"/>
        <rFont val="Noto Sans CJK SC"/>
      </rPr>
      <t>计算（研发费用</t>
    </r>
    <r>
      <rPr>
        <b val="false"/>
        <i val="true"/>
        <strike val="false"/>
        <sz val="10"/>
        <color rgb="FF808080"/>
        <rFont val="Calibri"/>
      </rPr>
      <t>/</t>
    </r>
    <r>
      <rPr>
        <b val="false"/>
        <i val="true"/>
        <strike val="false"/>
        <sz val="10"/>
        <color rgb="FF808080"/>
        <rFont val="Noto Sans CJK SC"/>
      </rPr>
      <t>营业收入），约数</t>
    </r>
  </si>
  <si>
    <t xml:space="preserve">应收账款周转天数</t>
  </si>
  <si>
    <t xml:space="preserve">未披露</t>
  </si>
  <si>
    <t xml:space="preserve">年报未直接提供，需自行计算</t>
  </si>
  <si>
    <t xml:space="preserve">存货周转天数</t>
  </si>
  <si>
    <t xml:space="preserve">合同销售额（亿元）</t>
  </si>
  <si>
    <t/>
    <r>
      <rPr>
        <b val="false"/>
        <i val="true"/>
        <strike val="false"/>
        <sz val="10"/>
        <color rgb="FF808080"/>
        <rFont val="Calibri"/>
      </rPr>
      <t>2025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P17</t>
    </r>
    <r>
      <rPr>
        <b val="false"/>
        <i val="true"/>
        <strike val="false"/>
        <sz val="10"/>
        <color rgb="FF808080"/>
        <rFont val="Noto Sans CJK SC"/>
      </rPr>
      <t>；</t>
    </r>
    <r>
      <rPr>
        <b val="false"/>
        <i val="true"/>
        <strike val="false"/>
        <sz val="10"/>
        <color rgb="FF808080"/>
        <rFont val="Calibri"/>
      </rPr>
      <t>2024</t>
    </r>
    <r>
      <rPr>
        <b val="false"/>
        <i val="true"/>
        <strike val="false"/>
        <sz val="10"/>
        <color rgb="FF808080"/>
        <rFont val="Noto Sans CJK SC"/>
      </rPr>
      <t>年报</t>
    </r>
    <r>
      <rPr>
        <b val="false"/>
        <i val="true"/>
        <strike val="false"/>
        <sz val="10"/>
        <color rgb="FF808080"/>
        <rFont val="Calibri"/>
      </rPr>
      <t>P18</t>
    </r>
  </si>
  <si>
    <t xml:space="preserve">净负债率</t>
  </si>
  <si>
    <t xml:space="preserve">异常发现标注</t>
  </si>
  <si>
    <t/>
    <r>
      <rPr>
        <b val="false"/>
        <i val="false"/>
        <strike val="false"/>
        <sz val="10"/>
        <color rgb="FF000000"/>
        <rFont val="Calibri"/>
      </rPr>
      <t xml:space="preserve">1. </t>
    </r>
    <r>
      <rPr>
        <b val="false"/>
        <i val="false"/>
        <strike val="false"/>
        <sz val="10"/>
        <color rgb="FF000000"/>
        <rFont val="Noto Sans CJK SC"/>
      </rPr>
      <t>归母净利润连续两年巨亏且扩大：</t>
    </r>
    <r>
      <rPr>
        <b val="false"/>
        <i val="false"/>
        <strike val="false"/>
        <sz val="10"/>
        <color rgb="FF000000"/>
        <rFont val="Calibri"/>
      </rPr>
      <t>2024</t>
    </r>
    <r>
      <rPr>
        <b val="false"/>
        <i val="false"/>
        <strike val="false"/>
        <sz val="10"/>
        <color rgb="FF000000"/>
        <rFont val="Noto Sans CJK SC"/>
      </rPr>
      <t>年亏损</t>
    </r>
    <r>
      <rPr>
        <b val="false"/>
        <i val="false"/>
        <strike val="false"/>
        <sz val="10"/>
        <color rgb="FF000000"/>
        <rFont val="Calibri"/>
      </rPr>
      <t>494.78</t>
    </r>
    <r>
      <rPr>
        <b val="false"/>
        <i val="false"/>
        <strike val="false"/>
        <sz val="10"/>
        <color rgb="FF000000"/>
        <rFont val="Noto Sans CJK SC"/>
      </rPr>
      <t>亿元，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年亏损</t>
    </r>
    <r>
      <rPr>
        <b val="false"/>
        <i val="false"/>
        <strike val="false"/>
        <sz val="10"/>
        <color rgb="FF000000"/>
        <rFont val="Calibri"/>
      </rPr>
      <t>885.56</t>
    </r>
    <r>
      <rPr>
        <b val="false"/>
        <i val="false"/>
        <strike val="false"/>
        <sz val="10"/>
        <color rgb="FF000000"/>
        <rFont val="Noto Sans CJK SC"/>
      </rPr>
      <t>亿元，同比扩大</t>
    </r>
    <r>
      <rPr>
        <b val="false"/>
        <i val="false"/>
        <strike val="false"/>
        <sz val="10"/>
        <color rgb="FF000000"/>
        <rFont val="Calibri"/>
      </rPr>
      <t>79.0%</t>
    </r>
    <r>
      <rPr>
        <b val="false"/>
        <i val="false"/>
        <strike val="false"/>
        <sz val="10"/>
        <color rgb="FF000000"/>
        <rFont val="Noto Sans CJK SC"/>
      </rPr>
      <t>，经营状况急剧恶化。</t>
    </r>
  </si>
  <si>
    <t/>
    <r>
      <rPr>
        <b val="false"/>
        <i val="false"/>
        <strike val="false"/>
        <sz val="10"/>
        <color rgb="FF000000"/>
        <rFont val="Calibri"/>
      </rPr>
      <t xml:space="preserve">2. 2025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Q4</t>
    </r>
    <r>
      <rPr>
        <b val="false"/>
        <i val="false"/>
        <strike val="false"/>
        <sz val="10"/>
        <color rgb="FF000000"/>
        <rFont val="Noto Sans CJK SC"/>
      </rPr>
      <t>单季亏损异常放大：</t>
    </r>
    <r>
      <rPr>
        <b val="false"/>
        <i val="false"/>
        <strike val="false"/>
        <sz val="10"/>
        <color rgb="FF000000"/>
        <rFont val="Calibri"/>
      </rPr>
      <t>Q4</t>
    </r>
    <r>
      <rPr>
        <b val="false"/>
        <i val="false"/>
        <strike val="false"/>
        <sz val="10"/>
        <color rgb="FF000000"/>
        <rFont val="Noto Sans CJK SC"/>
      </rPr>
      <t>归母净利润亏损</t>
    </r>
    <r>
      <rPr>
        <b val="false"/>
        <i val="false"/>
        <strike val="false"/>
        <sz val="10"/>
        <color rgb="FF000000"/>
        <rFont val="Calibri"/>
      </rPr>
      <t>605.41</t>
    </r>
    <r>
      <rPr>
        <b val="false"/>
        <i val="false"/>
        <strike val="false"/>
        <sz val="10"/>
        <color rgb="FF000000"/>
        <rFont val="Noto Sans CJK SC"/>
      </rPr>
      <t>亿元，占全年亏损的</t>
    </r>
    <r>
      <rPr>
        <b val="false"/>
        <i val="false"/>
        <strike val="false"/>
        <sz val="10"/>
        <color rgb="FF000000"/>
        <rFont val="Calibri"/>
      </rPr>
      <t>68%</t>
    </r>
    <r>
      <rPr>
        <b val="false"/>
        <i val="false"/>
        <strike val="false"/>
        <sz val="10"/>
        <color rgb="FF000000"/>
        <rFont val="Noto Sans CJK SC"/>
      </rPr>
      <t>，远超前三季度合计亏损（</t>
    </r>
    <r>
      <rPr>
        <b val="false"/>
        <i val="false"/>
        <strike val="false"/>
        <sz val="10"/>
        <color rgb="FF000000"/>
        <rFont val="Calibri"/>
      </rPr>
      <t>280.15</t>
    </r>
    <r>
      <rPr>
        <b val="false"/>
        <i val="false"/>
        <strike val="false"/>
        <sz val="10"/>
        <color rgb="FF000000"/>
        <rFont val="Noto Sans CJK SC"/>
      </rPr>
      <t>亿元），需重点核查年末集中计提减值或费用确认。</t>
    </r>
  </si>
  <si>
    <t/>
    <r>
      <rPr>
        <b val="false"/>
        <i val="false"/>
        <strike val="false"/>
        <sz val="10"/>
        <color rgb="FF000000"/>
        <rFont val="Calibri"/>
      </rPr>
      <t xml:space="preserve">3. </t>
    </r>
    <r>
      <rPr>
        <b val="false"/>
        <i val="false"/>
        <strike val="false"/>
        <sz val="10"/>
        <color rgb="FF000000"/>
        <rFont val="Noto Sans CJK SC"/>
      </rPr>
      <t>经营活动现金流由正转负：</t>
    </r>
    <r>
      <rPr>
        <b val="false"/>
        <i val="false"/>
        <strike val="false"/>
        <sz val="10"/>
        <color rgb="FF000000"/>
        <rFont val="Calibri"/>
      </rPr>
      <t>2024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+38.00</t>
    </r>
    <r>
      <rPr>
        <b val="false"/>
        <i val="false"/>
        <strike val="false"/>
        <sz val="10"/>
        <color rgb="FF000000"/>
        <rFont val="Noto Sans CJK SC"/>
      </rPr>
      <t>亿元→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-9.88</t>
    </r>
    <r>
      <rPr>
        <b val="false"/>
        <i val="false"/>
        <strike val="false"/>
        <sz val="10"/>
        <color rgb="FF000000"/>
        <rFont val="Noto Sans CJK SC"/>
      </rPr>
      <t>亿元，为近年来首次转负，是重大负面信号。</t>
    </r>
  </si>
  <si>
    <t/>
    <r>
      <rPr>
        <b val="false"/>
        <i val="false"/>
        <strike val="false"/>
        <sz val="10"/>
        <color rgb="FF000000"/>
        <rFont val="Calibri"/>
      </rPr>
      <t xml:space="preserve">4. </t>
    </r>
    <r>
      <rPr>
        <b val="false"/>
        <i val="false"/>
        <strike val="false"/>
        <sz val="10"/>
        <color rgb="FF000000"/>
        <rFont val="Noto Sans CJK SC"/>
      </rPr>
      <t>资产负债率持续攀升：从</t>
    </r>
    <r>
      <rPr>
        <b val="false"/>
        <i val="false"/>
        <strike val="false"/>
        <sz val="10"/>
        <color rgb="FF000000"/>
        <rFont val="Calibri"/>
      </rPr>
      <t>73.66%</t>
    </r>
    <r>
      <rPr>
        <b val="false"/>
        <i val="false"/>
        <strike val="false"/>
        <sz val="10"/>
        <color rgb="FF000000"/>
        <rFont val="Noto Sans CJK SC"/>
      </rPr>
      <t>（</t>
    </r>
    <r>
      <rPr>
        <b val="false"/>
        <i val="false"/>
        <strike val="false"/>
        <sz val="10"/>
        <color rgb="FF000000"/>
        <rFont val="Calibri"/>
      </rPr>
      <t>2024</t>
    </r>
    <r>
      <rPr>
        <b val="false"/>
        <i val="false"/>
        <strike val="false"/>
        <sz val="10"/>
        <color rgb="FF000000"/>
        <rFont val="Noto Sans CJK SC"/>
      </rPr>
      <t>）升至</t>
    </r>
    <r>
      <rPr>
        <b val="false"/>
        <i val="false"/>
        <strike val="false"/>
        <sz val="10"/>
        <color rgb="FF000000"/>
        <rFont val="Calibri"/>
      </rPr>
      <t>76.89%</t>
    </r>
    <r>
      <rPr>
        <b val="false"/>
        <i val="false"/>
        <strike val="false"/>
        <sz val="10"/>
        <color rgb="FF000000"/>
        <rFont val="Noto Sans CJK SC"/>
      </rPr>
      <t>（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），在亏损扩大的同时杠杆不降反升。</t>
    </r>
  </si>
  <si>
    <t/>
    <r>
      <rPr>
        <b val="false"/>
        <i val="false"/>
        <strike val="false"/>
        <sz val="10"/>
        <color rgb="FF000000"/>
        <rFont val="Calibri"/>
      </rPr>
      <t xml:space="preserve">5. </t>
    </r>
    <r>
      <rPr>
        <b val="false"/>
        <i val="false"/>
        <strike val="false"/>
        <sz val="10"/>
        <color rgb="FF000000"/>
        <rFont val="Noto Sans CJK SC"/>
      </rPr>
      <t>归母净资产大幅缩水：从</t>
    </r>
    <r>
      <rPr>
        <b val="false"/>
        <i val="false"/>
        <strike val="false"/>
        <sz val="10"/>
        <color rgb="FF000000"/>
        <rFont val="Calibri"/>
      </rPr>
      <t>2,026.66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2024</t>
    </r>
    <r>
      <rPr>
        <b val="false"/>
        <i val="false"/>
        <strike val="false"/>
        <sz val="10"/>
        <color rgb="FF000000"/>
        <rFont val="Noto Sans CJK SC"/>
      </rPr>
      <t>）降至</t>
    </r>
    <r>
      <rPr>
        <b val="false"/>
        <i val="false"/>
        <strike val="false"/>
        <sz val="10"/>
        <color rgb="FF000000"/>
        <rFont val="Calibri"/>
      </rPr>
      <t>1,169.05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），一年减少</t>
    </r>
    <r>
      <rPr>
        <b val="false"/>
        <i val="false"/>
        <strike val="false"/>
        <sz val="10"/>
        <color rgb="FF000000"/>
        <rFont val="Calibri"/>
      </rPr>
      <t>857.61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-42.3%</t>
    </r>
    <r>
      <rPr>
        <b val="false"/>
        <i val="false"/>
        <strike val="false"/>
        <sz val="10"/>
        <color rgb="FF000000"/>
        <rFont val="Noto Sans CJK SC"/>
      </rPr>
      <t>），若</t>
    </r>
    <r>
      <rPr>
        <b val="false"/>
        <i val="false"/>
        <strike val="false"/>
        <sz val="10"/>
        <color rgb="FF000000"/>
        <rFont val="Calibri"/>
      </rPr>
      <t>2026</t>
    </r>
    <r>
      <rPr>
        <b val="false"/>
        <i val="false"/>
        <strike val="false"/>
        <sz val="10"/>
        <color rgb="FF000000"/>
        <rFont val="Noto Sans CJK SC"/>
      </rPr>
      <t>年继续亏损，存在资不抵债风险。</t>
    </r>
  </si>
  <si>
    <t/>
    <r>
      <rPr>
        <b val="false"/>
        <i val="false"/>
        <strike val="false"/>
        <sz val="10"/>
        <color rgb="FF000000"/>
        <rFont val="Calibri"/>
      </rPr>
      <t xml:space="preserve">6. </t>
    </r>
    <r>
      <rPr>
        <b val="false"/>
        <i val="false"/>
        <strike val="false"/>
        <sz val="10"/>
        <color rgb="FF000000"/>
        <rFont val="Noto Sans CJK SC"/>
      </rPr>
      <t>存货大幅下降但伴随大额减值：存货从</t>
    </r>
    <r>
      <rPr>
        <b val="false"/>
        <i val="false"/>
        <strike val="false"/>
        <sz val="10"/>
        <color rgb="FF000000"/>
        <rFont val="Calibri"/>
      </rPr>
      <t>5,190.09</t>
    </r>
    <r>
      <rPr>
        <b val="false"/>
        <i val="false"/>
        <strike val="false"/>
        <sz val="10"/>
        <color rgb="FF000000"/>
        <rFont val="Noto Sans CJK SC"/>
      </rPr>
      <t>亿元降至</t>
    </r>
    <r>
      <rPr>
        <b val="false"/>
        <i val="false"/>
        <strike val="false"/>
        <sz val="10"/>
        <color rgb="FF000000"/>
        <rFont val="Calibri"/>
      </rPr>
      <t>3,737.38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-28.0%</t>
    </r>
    <r>
      <rPr>
        <b val="false"/>
        <i val="false"/>
        <strike val="false"/>
        <sz val="10"/>
        <color rgb="FF000000"/>
        <rFont val="Noto Sans CJK SC"/>
      </rPr>
      <t>），同时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年新增计提存货跌价准备</t>
    </r>
    <r>
      <rPr>
        <b val="false"/>
        <i val="false"/>
        <strike val="false"/>
        <sz val="10"/>
        <color rgb="FF000000"/>
        <rFont val="Calibri"/>
      </rPr>
      <t>208.26</t>
    </r>
    <r>
      <rPr>
        <b val="false"/>
        <i val="false"/>
        <strike val="false"/>
        <sz val="10"/>
        <color rgb="FF000000"/>
        <rFont val="Noto Sans CJK SC"/>
      </rPr>
      <t>亿元。</t>
    </r>
  </si>
  <si>
    <t/>
    <r>
      <rPr>
        <b val="false"/>
        <i val="false"/>
        <strike val="false"/>
        <sz val="10"/>
        <color rgb="FF000000"/>
        <rFont val="Calibri"/>
      </rPr>
      <t xml:space="preserve">7. </t>
    </r>
    <r>
      <rPr>
        <b val="false"/>
        <i val="false"/>
        <strike val="false"/>
        <sz val="10"/>
        <color rgb="FF000000"/>
        <rFont val="Noto Sans CJK SC"/>
      </rPr>
      <t>审计意见类型：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年报审计报告为「无保留意见（附持续经营重大不确定性段落）」（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年报</t>
    </r>
    <r>
      <rPr>
        <b val="false"/>
        <i val="false"/>
        <strike val="false"/>
        <sz val="10"/>
        <color rgb="FF000000"/>
        <rFont val="Calibri"/>
      </rPr>
      <t>P1</t>
    </r>
    <r>
      <rPr>
        <b val="false"/>
        <i val="false"/>
        <strike val="false"/>
        <sz val="10"/>
        <color rgb="FF000000"/>
        <rFont val="Noto Sans CJK SC"/>
      </rPr>
      <t>），需高度关注公司持续经营能力。</t>
    </r>
  </si>
  <si>
    <t/>
    <r>
      <rPr>
        <b val="false"/>
        <i val="false"/>
        <strike val="false"/>
        <sz val="10"/>
        <color rgb="FF000000"/>
        <rFont val="Calibri"/>
      </rPr>
      <t xml:space="preserve">8. </t>
    </r>
    <r>
      <rPr>
        <b val="false"/>
        <i val="false"/>
        <strike val="false"/>
        <sz val="10"/>
        <color rgb="FF000000"/>
        <rFont val="Noto Sans CJK SC"/>
      </rPr>
      <t>有息负债结构变化：短期借款从</t>
    </r>
    <r>
      <rPr>
        <b val="false"/>
        <i val="false"/>
        <strike val="false"/>
        <sz val="10"/>
        <color rgb="FF000000"/>
        <rFont val="Calibri"/>
      </rPr>
      <t>159.73</t>
    </r>
    <r>
      <rPr>
        <b val="false"/>
        <i val="false"/>
        <strike val="false"/>
        <sz val="10"/>
        <color rgb="FF000000"/>
        <rFont val="Noto Sans CJK SC"/>
      </rPr>
      <t>亿元升至</t>
    </r>
    <r>
      <rPr>
        <b val="false"/>
        <i val="false"/>
        <strike val="false"/>
        <sz val="10"/>
        <color rgb="FF000000"/>
        <rFont val="Calibri"/>
      </rPr>
      <t>263.31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+64.9%</t>
    </r>
    <r>
      <rPr>
        <b val="false"/>
        <i val="false"/>
        <strike val="false"/>
        <sz val="10"/>
        <color rgb="FF000000"/>
        <rFont val="Noto Sans CJK SC"/>
      </rPr>
      <t>），短期偿债压力显著加大。</t>
    </r>
  </si>
  <si>
    <t/>
    <r>
      <rPr>
        <b val="false"/>
        <i val="false"/>
        <strike val="false"/>
        <sz val="10"/>
        <color rgb="FF000000"/>
        <rFont val="Calibri"/>
      </rPr>
      <t xml:space="preserve">9. </t>
    </r>
    <r>
      <rPr>
        <b val="false"/>
        <i val="false"/>
        <strike val="false"/>
        <sz val="10"/>
        <color rgb="FF000000"/>
        <rFont val="Noto Sans CJK SC"/>
      </rPr>
      <t>合同销售额持续大幅下滑：</t>
    </r>
    <r>
      <rPr>
        <b val="false"/>
        <i val="false"/>
        <strike val="false"/>
        <sz val="10"/>
        <color rgb="FF000000"/>
        <rFont val="Calibri"/>
      </rPr>
      <t>2024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2,460.2</t>
    </r>
    <r>
      <rPr>
        <b val="false"/>
        <i val="false"/>
        <strike val="false"/>
        <sz val="10"/>
        <color rgb="FF000000"/>
        <rFont val="Noto Sans CJK SC"/>
      </rPr>
      <t>亿元→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1,340.6</t>
    </r>
    <r>
      <rPr>
        <b val="false"/>
        <i val="false"/>
        <strike val="false"/>
        <sz val="10"/>
        <color rgb="FF000000"/>
        <rFont val="Noto Sans CJK SC"/>
      </rPr>
      <t>亿元（</t>
    </r>
    <r>
      <rPr>
        <b val="false"/>
        <i val="false"/>
        <strike val="false"/>
        <sz val="10"/>
        <color rgb="FF000000"/>
        <rFont val="Calibri"/>
      </rPr>
      <t>-45.5%</t>
    </r>
    <r>
      <rPr>
        <b val="false"/>
        <i val="false"/>
        <strike val="false"/>
        <sz val="10"/>
        <color rgb="FF000000"/>
        <rFont val="Noto Sans CJK SC"/>
      </rPr>
      <t>），销售端萎缩严重。</t>
    </r>
  </si>
  <si>
    <t xml:space="preserve">数据可靠性说明</t>
  </si>
  <si>
    <t xml:space="preserve">• 所有数据均引自年报正文及经审计财务报表附注，无杜撰。</t>
  </si>
  <si>
    <t/>
    <r>
      <rPr>
        <b val="false"/>
        <i val="false"/>
        <strike val="false"/>
        <sz val="9"/>
        <color rgb="FF333333"/>
        <rFont val="Noto Sans CJK SC"/>
      </rPr>
      <t xml:space="preserve">• 营业收入、总资产等数据已交叉验证：营业收入与分产品收入合计一致；总资产≈负债</t>
    </r>
    <r>
      <rPr>
        <b val="false"/>
        <i val="false"/>
        <strike val="false"/>
        <sz val="9"/>
        <color rgb="FF333333"/>
        <rFont val="Calibri"/>
      </rPr>
      <t>+</t>
    </r>
    <r>
      <rPr>
        <b val="false"/>
        <i val="false"/>
        <strike val="false"/>
        <sz val="9"/>
        <color rgb="FF333333"/>
        <rFont val="Noto Sans CJK SC"/>
      </rPr>
      <t>所有者权益。</t>
    </r>
  </si>
  <si>
    <t xml:space="preserve">• 应收账款周转天数、存货周转天数因年报未直接披露，已如实标注「未披露」，可根据附注数据自行计算。</t>
  </si>
  <si>
    <t/>
    <r>
      <rPr>
        <b val="false"/>
        <i val="false"/>
        <strike val="false"/>
        <sz val="9"/>
        <color rgb="FF333333"/>
        <rFont val="Noto Sans CJK SC"/>
      </rPr>
      <t xml:space="preserve">• 研发费用占营收比重根据研发费用</t>
    </r>
    <r>
      <rPr>
        <b val="false"/>
        <i val="false"/>
        <strike val="false"/>
        <sz val="9"/>
        <color rgb="FF333333"/>
        <rFont val="Calibri"/>
      </rPr>
      <t>/</t>
    </r>
    <r>
      <rPr>
        <b val="false"/>
        <i val="false"/>
        <strike val="false"/>
        <sz val="9"/>
        <color rgb="FF333333"/>
        <rFont val="Noto Sans CJK SC"/>
      </rPr>
      <t>营业收入计算，</t>
    </r>
    <r>
      <rPr>
        <b val="false"/>
        <i val="false"/>
        <strike val="false"/>
        <sz val="9"/>
        <color rgb="FF333333"/>
        <rFont val="Calibri"/>
      </rPr>
      <t>2024</t>
    </r>
    <r>
      <rPr>
        <b val="false"/>
        <i val="false"/>
        <strike val="false"/>
        <sz val="9"/>
        <color rgb="FF333333"/>
        <rFont val="Noto Sans CJK SC"/>
      </rPr>
      <t>年研发费用来自</t>
    </r>
    <r>
      <rPr>
        <b val="false"/>
        <i val="false"/>
        <strike val="false"/>
        <sz val="9"/>
        <color rgb="FF333333"/>
        <rFont val="Calibri"/>
      </rPr>
      <t>2024</t>
    </r>
    <r>
      <rPr>
        <b val="false"/>
        <i val="false"/>
        <strike val="false"/>
        <sz val="9"/>
        <color rgb="FF333333"/>
        <rFont val="Noto Sans CJK SC"/>
      </rPr>
      <t>年报</t>
    </r>
    <r>
      <rPr>
        <b val="false"/>
        <i val="false"/>
        <strike val="false"/>
        <sz val="9"/>
        <color rgb="FF333333"/>
        <rFont val="Calibri"/>
      </rPr>
      <t>P32</t>
    </r>
    <r>
      <rPr>
        <b val="false"/>
        <i val="false"/>
        <strike val="false"/>
        <sz val="9"/>
        <color rgb="FF333333"/>
        <rFont val="Noto Sans CJK SC"/>
      </rPr>
      <t>，</t>
    </r>
    <r>
      <rPr>
        <b val="false"/>
        <i val="false"/>
        <strike val="false"/>
        <sz val="9"/>
        <color rgb="FF333333"/>
        <rFont val="Calibri"/>
      </rPr>
      <t>2025</t>
    </r>
    <r>
      <rPr>
        <b val="false"/>
        <i val="false"/>
        <strike val="false"/>
        <sz val="9"/>
        <color rgb="FF333333"/>
        <rFont val="Noto Sans CJK SC"/>
      </rPr>
      <t>年研发费用来自</t>
    </r>
    <r>
      <rPr>
        <b val="false"/>
        <i val="false"/>
        <strike val="false"/>
        <sz val="9"/>
        <color rgb="FF333333"/>
        <rFont val="Calibri"/>
      </rPr>
      <t>2025</t>
    </r>
    <r>
      <rPr>
        <b val="false"/>
        <i val="false"/>
        <strike val="false"/>
        <sz val="9"/>
        <color rgb="FF333333"/>
        <rFont val="Noto Sans CJK SC"/>
      </rPr>
      <t>年报</t>
    </r>
    <r>
      <rPr>
        <b val="false"/>
        <i val="false"/>
        <strike val="false"/>
        <sz val="9"/>
        <color rgb="FF333333"/>
        <rFont val="Calibri"/>
      </rPr>
      <t>P32</t>
    </r>
    <r>
      <rPr>
        <b val="false"/>
        <i val="false"/>
        <strike val="false"/>
        <sz val="9"/>
        <color rgb="FF333333"/>
        <rFont val="Noto Sans CJK SC"/>
      </rPr>
      <t>。</t>
    </r>
  </si>
  <si>
    <t/>
    <r>
      <rPr>
        <b val="false"/>
        <i val="false"/>
        <strike val="false"/>
        <sz val="9"/>
        <color rgb="FF333333"/>
        <rFont val="Noto Sans CJK SC"/>
      </rPr>
      <t xml:space="preserve">• 分季度数据</t>
    </r>
    <r>
      <rPr>
        <b val="false"/>
        <i val="false"/>
        <strike val="false"/>
        <sz val="9"/>
        <color rgb="FF333333"/>
        <rFont val="Calibri"/>
      </rPr>
      <t>2024</t>
    </r>
    <r>
      <rPr>
        <b val="false"/>
        <i val="false"/>
        <strike val="false"/>
        <sz val="9"/>
        <color rgb="FF333333"/>
        <rFont val="Noto Sans CJK SC"/>
      </rPr>
      <t>年来自</t>
    </r>
    <r>
      <rPr>
        <b val="false"/>
        <i val="false"/>
        <strike val="false"/>
        <sz val="9"/>
        <color rgb="FF333333"/>
        <rFont val="Calibri"/>
      </rPr>
      <t>2024</t>
    </r>
    <r>
      <rPr>
        <b val="false"/>
        <i val="false"/>
        <strike val="false"/>
        <sz val="9"/>
        <color rgb="FF333333"/>
        <rFont val="Noto Sans CJK SC"/>
      </rPr>
      <t>年报</t>
    </r>
    <r>
      <rPr>
        <b val="false"/>
        <i val="false"/>
        <strike val="false"/>
        <sz val="9"/>
        <color rgb="FF333333"/>
        <rFont val="Calibri"/>
      </rPr>
      <t>P12</t>
    </r>
    <r>
      <rPr>
        <b val="false"/>
        <i val="false"/>
        <strike val="false"/>
        <sz val="9"/>
        <color rgb="FF333333"/>
        <rFont val="Noto Sans CJK SC"/>
      </rPr>
      <t>，</t>
    </r>
    <r>
      <rPr>
        <b val="false"/>
        <i val="false"/>
        <strike val="false"/>
        <sz val="9"/>
        <color rgb="FF333333"/>
        <rFont val="Calibri"/>
      </rPr>
      <t>2025</t>
    </r>
    <r>
      <rPr>
        <b val="false"/>
        <i val="false"/>
        <strike val="false"/>
        <sz val="9"/>
        <color rgb="FF333333"/>
        <rFont val="Noto Sans CJK SC"/>
      </rPr>
      <t>年来自</t>
    </r>
    <r>
      <rPr>
        <b val="false"/>
        <i val="false"/>
        <strike val="false"/>
        <sz val="9"/>
        <color rgb="FF333333"/>
        <rFont val="Calibri"/>
      </rPr>
      <t>2025</t>
    </r>
    <r>
      <rPr>
        <b val="false"/>
        <i val="false"/>
        <strike val="false"/>
        <sz val="9"/>
        <color rgb="FF333333"/>
        <rFont val="Noto Sans CJK SC"/>
      </rPr>
      <t>年报</t>
    </r>
    <r>
      <rPr>
        <b val="false"/>
        <i val="false"/>
        <strike val="false"/>
        <sz val="9"/>
        <color rgb="FF333333"/>
        <rFont val="Calibri"/>
      </rPr>
      <t>P11</t>
    </r>
    <r>
      <rPr>
        <b val="false"/>
        <i val="false"/>
        <strike val="false"/>
        <sz val="9"/>
        <color rgb="FF333333"/>
        <rFont val="Noto Sans CJK SC"/>
      </rPr>
      <t>。</t>
    </r>
  </si>
  <si>
    <t/>
    <r>
      <rPr>
        <b val="false"/>
        <i val="false"/>
        <strike val="false"/>
        <sz val="9"/>
        <color rgb="FF333333"/>
        <rFont val="Noto Sans CJK SC"/>
      </rPr>
      <t xml:space="preserve">• 变动额和变动百分比由公式自动计算（</t>
    </r>
    <r>
      <rPr>
        <b val="false"/>
        <i val="false"/>
        <strike val="false"/>
        <sz val="9"/>
        <color rgb="FF333333"/>
        <rFont val="Calibri"/>
      </rPr>
      <t>=2025</t>
    </r>
    <r>
      <rPr>
        <b val="false"/>
        <i val="false"/>
        <strike val="false"/>
        <sz val="9"/>
        <color rgb="FF333333"/>
        <rFont val="Noto Sans CJK SC"/>
      </rPr>
      <t>年值</t>
    </r>
    <r>
      <rPr>
        <b val="false"/>
        <i val="false"/>
        <strike val="false"/>
        <sz val="9"/>
        <color rgb="FF333333"/>
        <rFont val="Calibri"/>
      </rPr>
      <t>-2024</t>
    </r>
    <r>
      <rPr>
        <b val="false"/>
        <i val="false"/>
        <strike val="false"/>
        <sz val="9"/>
        <color rgb="FF333333"/>
        <rFont val="Noto Sans CJK SC"/>
      </rPr>
      <t>年值；</t>
    </r>
    <r>
      <rPr>
        <b val="false"/>
        <i val="false"/>
        <strike val="false"/>
        <sz val="9"/>
        <color rgb="FF333333"/>
        <rFont val="Calibri"/>
      </rPr>
      <t>=</t>
    </r>
    <r>
      <rPr>
        <b val="false"/>
        <i val="false"/>
        <strike val="false"/>
        <sz val="9"/>
        <color rgb="FF333333"/>
        <rFont val="Noto Sans CJK SC"/>
      </rPr>
      <t>变动额</t>
    </r>
    <r>
      <rPr>
        <b val="false"/>
        <i val="false"/>
        <strike val="false"/>
        <sz val="9"/>
        <color rgb="FF333333"/>
        <rFont val="Calibri"/>
      </rPr>
      <t>/2024</t>
    </r>
    <r>
      <rPr>
        <b val="false"/>
        <i val="false"/>
        <strike val="false"/>
        <sz val="9"/>
        <color rgb="FF333333"/>
        <rFont val="Noto Sans CJK SC"/>
      </rPr>
      <t>年值），百分点类变动以「个百分点」列示。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</si>
</sst>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General"/>
    <numFmt numFmtId="165" formatCode="#,##0.00"/>
    <numFmt numFmtId="166" formatCode="0.0%"/>
    <numFmt numFmtId="167" formatCode="0.00%"/>
    <numFmt numFmtId="168" formatCode="0.00&quot;个百分点&quot;"/>
  </numFmts>
  <fonts count="17">
    <font>
      <sz val="11"/>
      <color theme="1"/>
      <name val="Calibri"/>
      <family val="2"/>
      <scheme val="minor"/>
    </font>
    <font>
      <b val="true"/>
      <sz val="14"/>
      <color rgb="FFFFFFFF"/>
      <name val="Noto Sans CJK SC"/>
      <family val="2"/>
    </font>
    <font>
      <sz val="11"/>
      <color rgb="FF000000"/>
      <name val="Calibri"/>
      <family val="2"/>
    </font>
    <font>
      <b val="true"/>
      <sz val="14"/>
      <color rgb="FFFFFFFF"/>
      <name val="Calibri"/>
      <family val="2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0"/>
      <color rgb="FF000000"/>
      <name val="Calibri"/>
      <family val="2"/>
    </font>
    <font>
      <i val="true"/>
      <sz val="10"/>
      <color rgb="FF808080"/>
      <name val="Calibri"/>
      <family val="2"/>
    </font>
    <font>
      <i val="true"/>
      <sz val="10"/>
      <color rgb="FF80808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Calibri"/>
      <family val="2"/>
    </font>
    <font>
      <sz val="9"/>
      <color rgb="FF333333"/>
      <name val="Noto Sans CJK SC"/>
      <family val="2"/>
    </font>
    <font>
      <sz val="9"/>
      <color rgb="FF333333"/>
      <name val="Calibr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F3B5D"/>
        <bgColor/>
      </patternFill>
    </fill>
    <fill>
      <patternFill patternType="solid">
        <fgColor rgb="FF3288B9"/>
        <bgColor/>
      </patternFill>
    </fill>
    <fill>
      <patternFill patternType="solid">
        <fgColor rgb="FFCFE3F1"/>
        <bgColor/>
      </patternFill>
    </fill>
    <fill>
      <patternFill patternType="solid">
        <fgColor rgb="FFFFF2CC"/>
        <bgColor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true" applyProtection="false" borderId="0" fillId="3" fontId="4" numFmtId="164" xfId="0">
      <alignment horizontal="left" vertical="center" wrapText="true"/>
    </xf>
    <xf applyAlignment="true" applyBorder="false" applyFill="true" applyFont="true" applyNumberFormat="true" applyProtection="false" borderId="1" fillId="4" fontId="5" numFmtId="164" xfId="0">
      <alignment horizontal="center" vertical="center" wrapText="true"/>
    </xf>
    <xf applyAlignment="true" applyBorder="false" applyFill="true" applyFont="true" applyNumberFormat="true" applyProtection="false" borderId="1" fillId="4" fontId="6" numFmtId="164" xfId="0">
      <alignment horizontal="center" vertical="center" wrapText="true"/>
    </xf>
    <xf applyAlignment="true" applyBorder="false" applyFill="false" applyFont="true" applyNumberFormat="true" applyProtection="false" borderId="1" fillId="0" fontId="5" numFmtId="164" xfId="0">
      <alignment horizontal="left" vertical="center" wrapText="true"/>
    </xf>
    <xf applyAlignment="true" applyBorder="false" applyFill="false" applyFont="true" applyNumberFormat="true" applyProtection="false" borderId="1" fillId="0" fontId="6" numFmtId="165" xfId="0">
      <alignment horizontal="right" vertical="center" wrapText="true"/>
    </xf>
    <xf applyAlignment="true" applyBorder="false" applyFill="false" applyFont="true" applyNumberFormat="true" applyProtection="false" borderId="1" fillId="0" fontId="9" numFmtId="165" xfId="0">
      <alignment horizontal="right" vertical="center" wrapText="true"/>
    </xf>
    <xf applyAlignment="true" applyBorder="false" applyFill="false" applyFont="true" applyNumberFormat="true" applyProtection="false" borderId="1" fillId="0" fontId="9" numFmtId="166" xfId="0">
      <alignment horizontal="right" vertical="center" wrapText="true"/>
    </xf>
    <xf applyAlignment="true" applyBorder="false" applyFill="false" applyFont="true" applyNumberFormat="true" applyProtection="false" borderId="1" fillId="0" fontId="10" numFmtId="164" xfId="0">
      <alignment horizontal="left" vertical="center" wrapText="true"/>
    </xf>
    <xf applyAlignment="true" applyBorder="false" applyFill="false" applyFont="true" applyNumberFormat="true" applyProtection="false" borderId="1" fillId="0" fontId="12" numFmtId="164" xfId="0">
      <alignment horizontal="left" vertical="center" wrapText="true"/>
    </xf>
    <xf applyAlignment="true" applyBorder="false" applyFill="true" applyFont="true" applyNumberFormat="true" applyProtection="false" borderId="1" fillId="5" fontId="5" numFmtId="164" xfId="0">
      <alignment horizontal="left" vertical="center" wrapText="true"/>
    </xf>
    <xf applyAlignment="true" applyBorder="false" applyFill="true" applyFont="true" applyNumberFormat="true" applyProtection="false" borderId="1" fillId="5" fontId="6" numFmtId="165" xfId="0">
      <alignment horizontal="right" vertical="center" wrapText="true"/>
    </xf>
    <xf applyAlignment="true" applyBorder="false" applyFill="true" applyFont="true" applyNumberFormat="true" applyProtection="false" borderId="1" fillId="5" fontId="9" numFmtId="165" xfId="0">
      <alignment horizontal="right" vertical="center" wrapText="true"/>
    </xf>
    <xf applyAlignment="true" applyBorder="false" applyFill="true" applyFont="true" applyNumberFormat="true" applyProtection="false" borderId="1" fillId="5" fontId="9" numFmtId="166" xfId="0">
      <alignment horizontal="right" vertical="center" wrapText="true"/>
    </xf>
    <xf applyAlignment="true" applyBorder="false" applyFill="true" applyFont="true" applyNumberFormat="true" applyProtection="false" borderId="1" fillId="5" fontId="10" numFmtId="164" xfId="0">
      <alignment horizontal="left" vertical="center" wrapText="true"/>
    </xf>
    <xf applyAlignment="true" applyBorder="false" applyFill="false" applyFont="true" applyNumberFormat="true" applyProtection="false" borderId="1" fillId="0" fontId="9" numFmtId="167" xfId="0">
      <alignment horizontal="right" vertical="center" wrapText="true"/>
    </xf>
    <xf applyAlignment="true" applyBorder="false" applyFill="false" applyFont="true" applyNumberFormat="true" applyProtection="false" borderId="1" fillId="0" fontId="9" numFmtId="168" xfId="0">
      <alignment horizontal="right" vertical="center" wrapText="true"/>
    </xf>
    <xf applyAlignment="true" applyBorder="false" applyFill="false" applyFont="true" applyNumberFormat="true" applyProtection="false" borderId="1" fillId="0" fontId="9" numFmtId="164" xfId="0">
      <alignment horizontal="center" vertical="center" wrapText="true"/>
    </xf>
    <xf applyAlignment="true" applyBorder="false" applyFill="false" applyFont="true" applyNumberFormat="true" applyProtection="false" borderId="1" fillId="0" fontId="11" numFmtId="164" xfId="0">
      <alignment horizontal="left" vertical="center" wrapText="true"/>
    </xf>
    <xf applyAlignment="true" applyBorder="false" applyFill="true" applyFont="true" applyNumberFormat="true" applyProtection="false" borderId="1" fillId="5" fontId="12" numFmtId="164" xfId="0">
      <alignment horizontal="left" vertical="center" wrapText="true"/>
    </xf>
    <xf applyAlignment="true" applyBorder="false" applyFill="true" applyFont="true" applyNumberFormat="true" applyProtection="false" borderId="1" fillId="5" fontId="9" numFmtId="164" xfId="0">
      <alignment horizontal="left" vertical="center" wrapText="true"/>
    </xf>
    <xf applyAlignment="true" applyBorder="false" applyFill="true" applyFont="true" applyNumberFormat="true" applyProtection="false" borderId="1" fillId="5" fontId="9" numFmtId="164" xfId="0">
      <alignment horizontal="center" vertical="center" wrapText="true"/>
    </xf>
    <xf applyAlignment="true" applyBorder="false" applyFill="false" applyFont="true" applyNumberFormat="true" applyProtection="false" borderId="1" fillId="0" fontId="6" numFmtId="167" xfId="0">
      <alignment horizontal="right" vertical="center" wrapText="true"/>
    </xf>
    <xf applyAlignment="true" applyBorder="false" applyFill="true" applyFont="true" applyNumberFormat="true" applyProtection="false" borderId="2" fillId="5" fontId="9" numFmtId="164" xfId="0">
      <alignment horizontal="left" vertical="center" wrapText="true"/>
    </xf>
    <xf applyAlignment="true" applyBorder="false" applyFill="false" applyFont="true" applyNumberFormat="true" applyProtection="false" borderId="0" fillId="0" fontId="15" numFmtId="164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ACcRv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8"/>
  <cols>
    <col collapsed="false" customWidth="true" hidden="false" max="4" min="4" style="0" width="17"/>
    <col collapsed="false" customWidth="true" hidden="false" max="5" min="5" style="0" width="13"/>
    <col collapsed="false" customWidth="true" hidden="false" max="6" min="6" style="0" width="38"/>
    <col collapsed="false" customWidth="true" hidden="false" max="1" min="1" style="0" width="28"/>
    <col collapsed="false" customWidth="true" hidden="false" max="2" min="2" style="0" width="19"/>
    <col collapsed="false" customWidth="true" hidden="false" max="3" min="3" style="0" width="19"/>
  </cols>
  <sheetData>
    <row customHeight="true" ht="34" r="1">
      <c r="A1" s="1" t="s">
        <v>1</v>
      </c>
      <c r="B1" s="1"/>
      <c r="C1" s="1"/>
      <c r="D1" s="1"/>
      <c r="E1" s="1"/>
      <c r="F1" s="1"/>
    </row>
    <row r="2"/>
    <row customHeight="true" ht="23" r="3">
      <c r="A3" s="2" t="s">
        <v>2</v>
      </c>
      <c r="B3" s="2"/>
      <c r="C3" s="2"/>
      <c r="D3" s="2"/>
      <c r="E3" s="2"/>
      <c r="F3" s="2"/>
    </row>
    <row customHeight="true" ht="28" r="4">
      <c r="A4" s="3" t="s">
        <v>3</v>
      </c>
      <c r="B4" s="4" t="s">
        <v>4</v>
      </c>
      <c r="C4" s="4" t="s">
        <v>5</v>
      </c>
      <c r="D4" s="3" t="s">
        <v>6</v>
      </c>
      <c r="E4" s="3" t="s">
        <v>7</v>
      </c>
      <c r="F4" s="3" t="s">
        <v>8</v>
      </c>
    </row>
    <row customHeight="true" ht="14" r="5">
      <c r="A5" s="5" t="s">
        <v>9</v>
      </c>
      <c r="B5" s="6">
        <v>3431.76</v>
      </c>
      <c r="C5" s="6">
        <v>2334.33</v>
      </c>
      <c r="D5" s="7">
        <f>C5-B5</f>
      </c>
      <c r="E5" s="8">
        <f>IF(B5=0,"-",D5/B5)</f>
      </c>
      <c r="F5" s="9" t="s">
        <v>10</v>
      </c>
    </row>
    <row customHeight="true" ht="14" r="6">
      <c r="A6" s="10" t="s">
        <v>11</v>
      </c>
      <c r="B6" s="7">
        <v>3082.65</v>
      </c>
      <c r="C6" s="7">
        <v>2113.47</v>
      </c>
      <c r="D6" s="7">
        <f>C6-B6</f>
      </c>
      <c r="E6" s="8">
        <f>IF(B6=0,"-",D6/B6)</f>
      </c>
      <c r="F6" s="9" t="s">
        <v>12</v>
      </c>
    </row>
    <row customHeight="true" ht="14" r="7">
      <c r="A7" s="11" t="s">
        <v>13</v>
      </c>
      <c r="B7" s="12">
        <v>-494.78</v>
      </c>
      <c r="C7" s="12">
        <v>-885.56</v>
      </c>
      <c r="D7" s="13">
        <f>C7-B7</f>
      </c>
      <c r="E7" s="14">
        <f>IF(B7=0,"-",D7/B7)</f>
      </c>
      <c r="F7" s="15" t="s">
        <v>10</v>
      </c>
    </row>
    <row customHeight="true" ht="14" r="8">
      <c r="A8" s="10" t="s">
        <v>14</v>
      </c>
      <c r="B8" s="16">
        <v>-0.1442</v>
      </c>
      <c r="C8" s="16">
        <v>-0.3793</v>
      </c>
      <c r="D8" s="17">
        <f>(C8-B8)*100</f>
      </c>
      <c r="E8" s="18" t="s">
        <v>15</v>
      </c>
      <c r="F8" s="19" t="s">
        <v>16</v>
      </c>
    </row>
    <row customHeight="true" ht="14" r="9">
      <c r="A9" s="10" t="s">
        <v>17</v>
      </c>
      <c r="B9" s="16">
        <v>-0.2182</v>
      </c>
      <c r="C9" s="16">
        <v>-0.5542</v>
      </c>
      <c r="D9" s="17">
        <f>(C9-B9)*100</f>
      </c>
      <c r="E9" s="18" t="s">
        <v>15</v>
      </c>
      <c r="F9" s="9" t="s">
        <v>10</v>
      </c>
    </row>
    <row customHeight="true" ht="14" r="10">
      <c r="A10" s="11" t="s">
        <v>18</v>
      </c>
      <c r="B10" s="12">
        <v>38</v>
      </c>
      <c r="C10" s="12">
        <v>-9.88</v>
      </c>
      <c r="D10" s="13">
        <f>C10-B10</f>
      </c>
      <c r="E10" s="14">
        <f>IF(B10=0,"-",D10/B10)</f>
      </c>
      <c r="F10" s="15" t="s">
        <v>19</v>
      </c>
    </row>
    <row customHeight="true" ht="14" r="11">
      <c r="A11" s="20" t="s">
        <v>20</v>
      </c>
      <c r="B11" s="21" t="s">
        <v>21</v>
      </c>
      <c r="C11" s="21" t="s">
        <v>22</v>
      </c>
      <c r="D11" s="22" t="s">
        <v>15</v>
      </c>
      <c r="E11" s="22" t="s">
        <v>15</v>
      </c>
      <c r="F11" s="15" t="s">
        <v>23</v>
      </c>
    </row>
    <row r="12"/>
    <row customHeight="true" ht="23" r="13">
      <c r="A13" s="2" t="s">
        <v>24</v>
      </c>
      <c r="B13" s="2"/>
      <c r="C13" s="2"/>
      <c r="D13" s="2"/>
      <c r="E13" s="2"/>
      <c r="F13" s="2"/>
    </row>
    <row customHeight="true" ht="28" r="14">
      <c r="A14" s="3" t="s">
        <v>3</v>
      </c>
      <c r="B14" s="4" t="s">
        <v>25</v>
      </c>
      <c r="C14" s="4" t="s">
        <v>26</v>
      </c>
      <c r="D14" s="3" t="s">
        <v>6</v>
      </c>
      <c r="E14" s="3" t="s">
        <v>7</v>
      </c>
      <c r="F14" s="3" t="s">
        <v>8</v>
      </c>
    </row>
    <row customHeight="true" ht="14" r="15">
      <c r="A15" s="5" t="s">
        <v>27</v>
      </c>
      <c r="B15" s="6">
        <v>12862.6</v>
      </c>
      <c r="C15" s="6">
        <v>10206.23</v>
      </c>
      <c r="D15" s="7">
        <f>C15-B15</f>
      </c>
      <c r="E15" s="8">
        <f>IF(B15=0,"-",D15/B15)</f>
      </c>
      <c r="F15" s="9" t="s">
        <v>28</v>
      </c>
    </row>
    <row customHeight="true" ht="14" r="16">
      <c r="A16" s="11" t="s">
        <v>29</v>
      </c>
      <c r="B16" s="12">
        <v>2026.66</v>
      </c>
      <c r="C16" s="12">
        <v>1169.05</v>
      </c>
      <c r="D16" s="13">
        <f>C16-B16</f>
      </c>
      <c r="E16" s="14">
        <f>IF(B16=0,"-",D16/B16)</f>
      </c>
      <c r="F16" s="15" t="s">
        <v>30</v>
      </c>
    </row>
    <row customHeight="true" ht="14" r="17">
      <c r="A17" s="5" t="s">
        <v>31</v>
      </c>
      <c r="B17" s="23">
        <v>0.7366</v>
      </c>
      <c r="C17" s="23">
        <v>0.7689</v>
      </c>
      <c r="D17" s="17">
        <f>(C17-B17)*100</f>
      </c>
      <c r="E17" s="18" t="s">
        <v>15</v>
      </c>
      <c r="F17" s="9" t="s">
        <v>30</v>
      </c>
    </row>
    <row customHeight="true" ht="14" r="18">
      <c r="A18" s="10" t="s">
        <v>32</v>
      </c>
      <c r="B18" s="7">
        <v>3612.8</v>
      </c>
      <c r="C18" s="7">
        <v>3584.8</v>
      </c>
      <c r="D18" s="7">
        <f>C18-B18</f>
      </c>
      <c r="E18" s="8">
        <f>IF(B18=0,"-",D18/B18)</f>
      </c>
      <c r="F18" s="9" t="s">
        <v>33</v>
      </c>
    </row>
    <row r="19"/>
    <row customHeight="true" ht="23" r="20">
      <c r="A20" s="2" t="s">
        <v>34</v>
      </c>
      <c r="B20" s="2"/>
      <c r="C20" s="2"/>
      <c r="D20" s="2"/>
      <c r="E20" s="2"/>
      <c r="F20" s="2"/>
    </row>
    <row customHeight="true" ht="28" r="21">
      <c r="A21" s="3" t="s">
        <v>35</v>
      </c>
      <c r="B21" s="4" t="s">
        <v>25</v>
      </c>
      <c r="C21" s="4" t="s">
        <v>26</v>
      </c>
      <c r="D21" s="3" t="s">
        <v>6</v>
      </c>
      <c r="E21" s="3" t="s">
        <v>7</v>
      </c>
      <c r="F21" s="3" t="s">
        <v>36</v>
      </c>
    </row>
    <row customHeight="true" ht="14" r="22">
      <c r="A22" s="10" t="s">
        <v>37</v>
      </c>
      <c r="B22" s="7">
        <v>881.63</v>
      </c>
      <c r="C22" s="7">
        <v>672.41</v>
      </c>
      <c r="D22" s="7">
        <f>C22-B22</f>
      </c>
      <c r="E22" s="8">
        <f>IF(B22=0,"-",D22/B22)</f>
      </c>
      <c r="F22" s="9" t="s">
        <v>38</v>
      </c>
    </row>
    <row customHeight="true" ht="14" r="23">
      <c r="A23" s="10" t="s">
        <v>39</v>
      </c>
      <c r="B23" s="7">
        <v>81.11</v>
      </c>
      <c r="C23" s="7">
        <v>95.19</v>
      </c>
      <c r="D23" s="7">
        <f>C23-B23</f>
      </c>
      <c r="E23" s="8">
        <f>IF(B23=0,"-",D23/B23)</f>
      </c>
      <c r="F23" s="9" t="s">
        <v>38</v>
      </c>
    </row>
    <row customHeight="true" ht="14" r="24">
      <c r="A24" s="20" t="s">
        <v>40</v>
      </c>
      <c r="B24" s="13">
        <v>5190.09</v>
      </c>
      <c r="C24" s="13">
        <v>3737.38</v>
      </c>
      <c r="D24" s="13">
        <f>C24-B24</f>
      </c>
      <c r="E24" s="14">
        <f>IF(B24=0,"-",D24/B24)</f>
      </c>
      <c r="F24" s="15" t="s">
        <v>38</v>
      </c>
    </row>
    <row customHeight="true" ht="14" r="25">
      <c r="A25" s="10" t="s">
        <v>41</v>
      </c>
      <c r="B25" s="7">
        <v>206.11</v>
      </c>
      <c r="C25" s="7">
        <v>190.16</v>
      </c>
      <c r="D25" s="7">
        <f>C25-B25</f>
      </c>
      <c r="E25" s="8">
        <f>IF(B25=0,"-",D25/B25)</f>
      </c>
      <c r="F25" s="9" t="s">
        <v>38</v>
      </c>
    </row>
    <row customHeight="true" ht="14" r="26">
      <c r="A26" s="20" t="s">
        <v>42</v>
      </c>
      <c r="B26" s="13">
        <v>159.73</v>
      </c>
      <c r="C26" s="13">
        <v>263.31</v>
      </c>
      <c r="D26" s="13">
        <f>C26-B26</f>
      </c>
      <c r="E26" s="14">
        <f>IF(B26=0,"-",D26/B26)</f>
      </c>
      <c r="F26" s="15" t="s">
        <v>43</v>
      </c>
    </row>
    <row customHeight="true" ht="14" r="27">
      <c r="A27" s="10" t="s">
        <v>44</v>
      </c>
      <c r="B27" s="7">
        <v>1788.86</v>
      </c>
      <c r="C27" s="7">
        <v>1571.86</v>
      </c>
      <c r="D27" s="7">
        <f>C27-B27</f>
      </c>
      <c r="E27" s="8">
        <f>IF(B27=0,"-",D27/B27)</f>
      </c>
      <c r="F27" s="9" t="s">
        <v>43</v>
      </c>
    </row>
    <row customHeight="true" ht="14" r="28">
      <c r="A28" s="10" t="s">
        <v>45</v>
      </c>
      <c r="B28" s="7">
        <v>241.13</v>
      </c>
      <c r="C28" s="7">
        <v>112.95</v>
      </c>
      <c r="D28" s="7">
        <f>C28-B28</f>
      </c>
      <c r="E28" s="8">
        <f>IF(B28=0,"-",D28/B28)</f>
      </c>
      <c r="F28" s="9" t="s">
        <v>43</v>
      </c>
    </row>
    <row r="29"/>
    <row customHeight="true" ht="23" r="30">
      <c r="A30" s="2" t="s">
        <v>46</v>
      </c>
      <c r="B30" s="2"/>
      <c r="C30" s="2"/>
      <c r="D30" s="2"/>
      <c r="E30" s="2"/>
      <c r="F30" s="2"/>
    </row>
    <row customHeight="true" ht="28" r="31">
      <c r="A31" s="3" t="s">
        <v>47</v>
      </c>
      <c r="B31" s="4" t="s">
        <v>48</v>
      </c>
      <c r="C31" s="4" t="s">
        <v>49</v>
      </c>
      <c r="D31" s="3" t="s">
        <v>50</v>
      </c>
      <c r="E31" s="3"/>
      <c r="F31" s="3" t="s">
        <v>51</v>
      </c>
    </row>
    <row customHeight="true" ht="14" r="32">
      <c r="A32" s="10" t="s">
        <v>52</v>
      </c>
      <c r="B32" s="16">
        <v>0.0953</v>
      </c>
      <c r="C32" s="16">
        <v>0.0864</v>
      </c>
      <c r="D32" s="17">
        <f>(C32-B32)*100</f>
      </c>
      <c r="E32" s="17"/>
      <c r="F32" s="9" t="s">
        <v>12</v>
      </c>
    </row>
    <row customHeight="true" ht="14" r="33">
      <c r="A33" s="10" t="s">
        <v>53</v>
      </c>
      <c r="B33" s="16">
        <v>0.1321</v>
      </c>
      <c r="C33" s="16">
        <v>0.1235</v>
      </c>
      <c r="D33" s="17">
        <f>(C33-B33)*100</f>
      </c>
      <c r="E33" s="17"/>
      <c r="F33" s="9" t="s">
        <v>12</v>
      </c>
    </row>
    <row customHeight="true" ht="14" r="34">
      <c r="A34" s="10" t="s">
        <v>54</v>
      </c>
      <c r="B34" s="16">
        <v>0.2033</v>
      </c>
      <c r="C34" s="16">
        <v>0.1691</v>
      </c>
      <c r="D34" s="17">
        <f>(C34-B34)*100</f>
      </c>
      <c r="E34" s="17"/>
      <c r="F34" s="9" t="s">
        <v>12</v>
      </c>
    </row>
    <row customHeight="true" ht="14" r="35">
      <c r="A35" s="5" t="s">
        <v>55</v>
      </c>
      <c r="B35" s="16">
        <v>0.099</v>
      </c>
      <c r="C35" s="16">
        <v>0.0922</v>
      </c>
      <c r="D35" s="17">
        <f>(C35-B35)*100</f>
      </c>
      <c r="E35" s="17"/>
      <c r="F35" s="9" t="s">
        <v>12</v>
      </c>
    </row>
    <row r="36"/>
    <row customHeight="true" ht="23" r="37">
      <c r="A37" s="2" t="s">
        <v>56</v>
      </c>
      <c r="B37" s="2"/>
      <c r="C37" s="2"/>
      <c r="D37" s="2"/>
      <c r="E37" s="2"/>
      <c r="F37" s="2"/>
    </row>
    <row customHeight="true" ht="28" r="38">
      <c r="A38" s="3" t="s">
        <v>3</v>
      </c>
      <c r="B38" s="4" t="s">
        <v>4</v>
      </c>
      <c r="C38" s="4" t="s">
        <v>5</v>
      </c>
      <c r="D38" s="3" t="s">
        <v>50</v>
      </c>
      <c r="E38" s="3"/>
      <c r="F38" s="3" t="s">
        <v>51</v>
      </c>
    </row>
    <row customHeight="true" ht="14" r="39">
      <c r="A39" s="10" t="s">
        <v>57</v>
      </c>
      <c r="B39" s="7">
        <v>5.08</v>
      </c>
      <c r="C39" s="7">
        <v>4.44</v>
      </c>
      <c r="D39" s="7">
        <f>C39-B39</f>
      </c>
      <c r="E39" s="7"/>
      <c r="F39" s="9" t="s">
        <v>58</v>
      </c>
    </row>
    <row customHeight="true" ht="14" r="40">
      <c r="A40" s="10" t="s">
        <v>59</v>
      </c>
      <c r="B40" s="16">
        <v>0.0015</v>
      </c>
      <c r="C40" s="16">
        <v>0.0019</v>
      </c>
      <c r="D40" s="17">
        <f>(C40-B40)*100</f>
      </c>
      <c r="E40" s="17"/>
      <c r="F40" s="19" t="s">
        <v>60</v>
      </c>
    </row>
    <row customHeight="true" ht="14" r="41">
      <c r="A41" s="10" t="s">
        <v>61</v>
      </c>
      <c r="B41" s="10" t="s">
        <v>62</v>
      </c>
      <c r="C41" s="10" t="s">
        <v>62</v>
      </c>
      <c r="D41" s="18" t="s">
        <v>15</v>
      </c>
      <c r="E41" s="18" t="s">
        <v>15</v>
      </c>
      <c r="F41" s="19" t="s">
        <v>63</v>
      </c>
    </row>
    <row customHeight="true" ht="14" r="42">
      <c r="A42" s="10" t="s">
        <v>64</v>
      </c>
      <c r="B42" s="10" t="s">
        <v>62</v>
      </c>
      <c r="C42" s="10" t="s">
        <v>62</v>
      </c>
      <c r="D42" s="18" t="s">
        <v>15</v>
      </c>
      <c r="E42" s="18" t="s">
        <v>15</v>
      </c>
      <c r="F42" s="19" t="s">
        <v>63</v>
      </c>
    </row>
    <row customHeight="true" ht="14" r="43">
      <c r="A43" s="10" t="s">
        <v>65</v>
      </c>
      <c r="B43" s="7">
        <v>2460.2</v>
      </c>
      <c r="C43" s="7">
        <v>1340.6</v>
      </c>
      <c r="D43" s="7">
        <f>C43-B43</f>
      </c>
      <c r="E43" s="7"/>
      <c r="F43" s="9" t="s">
        <v>66</v>
      </c>
    </row>
    <row customHeight="true" ht="14" r="44">
      <c r="A44" s="10" t="s">
        <v>67</v>
      </c>
      <c r="B44" s="16">
        <v>0.806</v>
      </c>
      <c r="C44" s="16">
        <v>1.2348</v>
      </c>
      <c r="D44" s="17">
        <f>(C44-B44)*100</f>
      </c>
      <c r="E44" s="17"/>
      <c r="F44" s="9" t="s">
        <v>10</v>
      </c>
    </row>
    <row r="45"/>
    <row customHeight="true" ht="23" r="46">
      <c r="A46" s="2" t="s">
        <v>68</v>
      </c>
      <c r="B46" s="2"/>
      <c r="C46" s="2"/>
      <c r="D46" s="2"/>
      <c r="E46" s="2"/>
      <c r="F46" s="2"/>
    </row>
    <row customHeight="true" ht="40" r="47">
      <c r="A47" s="24" t="s">
        <v>69</v>
      </c>
      <c r="B47" s="24"/>
      <c r="C47" s="24"/>
      <c r="D47" s="24"/>
      <c r="E47" s="24"/>
      <c r="F47" s="24"/>
    </row>
    <row customHeight="true" ht="40" r="48">
      <c r="A48" s="24" t="s">
        <v>70</v>
      </c>
      <c r="B48" s="24"/>
      <c r="C48" s="24"/>
      <c r="D48" s="24"/>
      <c r="E48" s="24"/>
      <c r="F48" s="24"/>
    </row>
    <row customHeight="true" ht="40" r="49">
      <c r="A49" s="24" t="s">
        <v>71</v>
      </c>
      <c r="B49" s="24"/>
      <c r="C49" s="24"/>
      <c r="D49" s="24"/>
      <c r="E49" s="24"/>
      <c r="F49" s="24"/>
    </row>
    <row customHeight="true" ht="40" r="50">
      <c r="A50" s="24" t="s">
        <v>72</v>
      </c>
      <c r="B50" s="24"/>
      <c r="C50" s="24"/>
      <c r="D50" s="24"/>
      <c r="E50" s="24"/>
      <c r="F50" s="24"/>
    </row>
    <row customHeight="true" ht="40" r="51">
      <c r="A51" s="24" t="s">
        <v>73</v>
      </c>
      <c r="B51" s="24"/>
      <c r="C51" s="24"/>
      <c r="D51" s="24"/>
      <c r="E51" s="24"/>
      <c r="F51" s="24"/>
    </row>
    <row customHeight="true" ht="40" r="52">
      <c r="A52" s="24" t="s">
        <v>74</v>
      </c>
      <c r="B52" s="24"/>
      <c r="C52" s="24"/>
      <c r="D52" s="24"/>
      <c r="E52" s="24"/>
      <c r="F52" s="24"/>
    </row>
    <row customHeight="true" ht="40" r="53">
      <c r="A53" s="24" t="s">
        <v>75</v>
      </c>
      <c r="B53" s="24"/>
      <c r="C53" s="24"/>
      <c r="D53" s="24"/>
      <c r="E53" s="24"/>
      <c r="F53" s="24"/>
    </row>
    <row customHeight="true" ht="40" r="54">
      <c r="A54" s="24" t="s">
        <v>76</v>
      </c>
      <c r="B54" s="24"/>
      <c r="C54" s="24"/>
      <c r="D54" s="24"/>
      <c r="E54" s="24"/>
      <c r="F54" s="24"/>
    </row>
    <row customHeight="true" ht="40" r="55">
      <c r="A55" s="24" t="s">
        <v>77</v>
      </c>
      <c r="B55" s="24"/>
      <c r="C55" s="24"/>
      <c r="D55" s="24"/>
      <c r="E55" s="24"/>
      <c r="F55" s="24"/>
    </row>
    <row r="56"/>
    <row customHeight="true" ht="23" r="57">
      <c r="A57" s="2" t="s">
        <v>78</v>
      </c>
      <c r="B57" s="2"/>
      <c r="C57" s="2"/>
      <c r="D57" s="2"/>
      <c r="E57" s="2"/>
      <c r="F57" s="2"/>
    </row>
    <row customHeight="true" ht="26" r="58">
      <c r="A58" s="25" t="s">
        <v>79</v>
      </c>
      <c r="B58" s="25"/>
      <c r="C58" s="25"/>
      <c r="D58" s="25"/>
      <c r="E58" s="25"/>
      <c r="F58" s="25"/>
    </row>
    <row customHeight="true" ht="26" r="59">
      <c r="A59" s="25" t="s">
        <v>80</v>
      </c>
      <c r="B59" s="25"/>
      <c r="C59" s="25"/>
      <c r="D59" s="25"/>
      <c r="E59" s="25"/>
      <c r="F59" s="25"/>
    </row>
    <row customHeight="true" ht="26" r="60">
      <c r="A60" s="25" t="s">
        <v>81</v>
      </c>
      <c r="B60" s="25"/>
      <c r="C60" s="25"/>
      <c r="D60" s="25"/>
      <c r="E60" s="25"/>
      <c r="F60" s="25"/>
    </row>
    <row customHeight="true" ht="26" r="61">
      <c r="A61" s="25" t="s">
        <v>82</v>
      </c>
      <c r="B61" s="25"/>
      <c r="C61" s="25"/>
      <c r="D61" s="25"/>
      <c r="E61" s="25"/>
      <c r="F61" s="25"/>
    </row>
    <row customHeight="true" ht="26" r="62">
      <c r="A62" s="25" t="s">
        <v>83</v>
      </c>
      <c r="B62" s="25"/>
      <c r="C62" s="25"/>
      <c r="D62" s="25"/>
      <c r="E62" s="25"/>
      <c r="F62" s="25"/>
    </row>
    <row customHeight="true" ht="26" r="63">
      <c r="A63" s="25" t="s">
        <v>84</v>
      </c>
      <c r="B63" s="25"/>
      <c r="C63" s="25"/>
      <c r="D63" s="25"/>
      <c r="E63" s="25"/>
      <c r="F63" s="25"/>
    </row>
  </sheetData>
  <mergeCells>
    <mergeCell ref="A1:F1"/>
    <mergeCell ref="A3:F3"/>
    <mergeCell ref="A13:F13"/>
    <mergeCell ref="A20:F20"/>
    <mergeCell ref="A30:F30"/>
    <mergeCell ref="D32:E32"/>
    <mergeCell ref="D33:E33"/>
    <mergeCell ref="D34:E34"/>
    <mergeCell ref="D35:E35"/>
    <mergeCell ref="A37:F37"/>
    <mergeCell ref="D39:E39"/>
    <mergeCell ref="D40:E40"/>
    <mergeCell ref="D43:E43"/>
    <mergeCell ref="D44:E44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7:F57"/>
    <mergeCell ref="A58:F58"/>
    <mergeCell ref="A59:F59"/>
    <mergeCell ref="A60:F60"/>
    <mergeCell ref="A61:F61"/>
    <mergeCell ref="A62:F62"/>
    <mergeCell ref="A63:F63"/>
  </mergeCells>
  <printOptions gridLinesSet="true"/>
  <pageMargins bottom="1" footer="0.511811023622047" header="0.511811023622047" left="0.75" right="0.75" top="1"/>
  <pageSetup cellComments="none" copies="1" horizontalDpi="300" orientation="portrait" pageOrder="downThenOver" paperSize="1" scale="1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{"Label":"1","ContentProducer":"001191110102MACQD9K64010000","ProduceID":"7674904218109808950","ReservedCode1":"","ContentPropagator":"","PropagateID":"","ReservedCode2":""}</vt:lpwstr>
  </property>
</Properties>
</file>