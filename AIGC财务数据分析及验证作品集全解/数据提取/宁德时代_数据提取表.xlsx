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核心财务指标对比" sheetId="1" state="visible" r:id="rId2"/>
    <sheet name="分产品毛利率" sheetId="2" state="visible" r:id="rId3"/>
    <sheet name="分季度数据" sheetId="3" state="visible" r:id="rId4"/>
    <sheet name="资产负债表辅助数据" sheetId="4" state="visible" r:id="rId5"/>
    <sheet name="异常发现与备注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<sst xmlns="http://schemas.openxmlformats.org/spreadsheetml/2006/main" count="78" uniqueCount="76">
  <si>
    <t xml:space="preserve">宁德时代（300750）核心财务数据提取表（2024 vs 2025）</t>
  </si>
  <si>
    <t xml:space="preserve">数据来源：宁德时代2024年年度报告、2025年年度报告（经审计合并报表口径）  单位：亿元人民币</t>
  </si>
  <si>
    <t xml:space="preserve">指标名称</t>
  </si>
  <si>
    <t xml:space="preserve">2024年</t>
  </si>
  <si>
    <t xml:space="preserve">2025年</t>
  </si>
  <si>
    <t xml:space="preserve">变动额(2025-2024)</t>
  </si>
  <si>
    <t xml:space="preserve">变动百分比</t>
  </si>
  <si>
    <t xml:space="preserve">一、利润表指标</t>
  </si>
  <si>
    <t xml:space="preserve">营业收入</t>
  </si>
  <si>
    <t xml:space="preserve">营业成本</t>
  </si>
  <si>
    <t xml:space="preserve">归母净利润</t>
  </si>
  <si>
    <t xml:space="preserve">加权平均ROE</t>
  </si>
  <si>
    <t xml:space="preserve">净利率(归母/营收)</t>
  </si>
  <si>
    <t xml:space="preserve">二、资产负债表指标</t>
  </si>
  <si>
    <t xml:space="preserve">总资产</t>
  </si>
  <si>
    <t xml:space="preserve">归母净资产</t>
  </si>
  <si>
    <t xml:space="preserve">资产负债率</t>
  </si>
  <si>
    <t xml:space="preserve">三、现金流量表指标</t>
  </si>
  <si>
    <t xml:space="preserve">经营活动现金流净额</t>
  </si>
  <si>
    <t xml:space="preserve">四、研发投入</t>
  </si>
  <si>
    <t xml:space="preserve">研发费用</t>
  </si>
  <si>
    <t xml:space="preserve">研发费用占营收比重</t>
  </si>
  <si>
    <t xml:space="preserve">分产品收入与毛利率（2024 vs 2025）</t>
  </si>
  <si>
    <t xml:space="preserve">产品类别</t>
  </si>
  <si>
    <t xml:space="preserve">2024年收入(亿元)</t>
  </si>
  <si>
    <t xml:space="preserve">2025年收入(亿元)</t>
  </si>
  <si>
    <t xml:space="preserve">2024年毛利率</t>
  </si>
  <si>
    <t xml:space="preserve">2025年毛利率</t>
  </si>
  <si>
    <t xml:space="preserve">动力电池系统</t>
  </si>
  <si>
    <t xml:space="preserve">储能电池系统</t>
  </si>
  <si>
    <t xml:space="preserve">电池材料及回收</t>
  </si>
  <si>
    <t xml:space="preserve">电池矿产资源</t>
  </si>
  <si>
    <t xml:space="preserve">其他业务</t>
  </si>
  <si>
    <t xml:space="preserve">未披露</t>
  </si>
  <si>
    <t xml:space="preserve">分季度营业收入与归母净利润（单位：亿元）</t>
  </si>
  <si>
    <t xml:space="preserve">季度</t>
  </si>
  <si>
    <t xml:space="preserve">2024年营收</t>
  </si>
  <si>
    <t xml:space="preserve">2025年营收</t>
  </si>
  <si>
    <t xml:space="preserve">2024年归母净利</t>
  </si>
  <si>
    <t xml:space="preserve">2025年归母净利</t>
  </si>
  <si>
    <t xml:space="preserve">Q1</t>
  </si>
  <si>
    <t xml:space="preserve">Q2</t>
  </si>
  <si>
    <t xml:space="preserve">Q3</t>
  </si>
  <si>
    <t xml:space="preserve">Q4</t>
  </si>
  <si>
    <t xml:space="preserve">全年合计</t>
  </si>
  <si>
    <t xml:space="preserve">资产负债表关键科目（年末余额，单位：亿元）</t>
  </si>
  <si>
    <t xml:space="preserve">科目名称</t>
  </si>
  <si>
    <t xml:space="preserve">2024年末</t>
  </si>
  <si>
    <t xml:space="preserve">2025年末</t>
  </si>
  <si>
    <t xml:space="preserve">变动额</t>
  </si>
  <si>
    <t xml:space="preserve">货币资金</t>
  </si>
  <si>
    <t xml:space="preserve">应收账款</t>
  </si>
  <si>
    <t xml:space="preserve">存货</t>
  </si>
  <si>
    <t xml:space="preserve">固定资产</t>
  </si>
  <si>
    <t xml:space="preserve">短期借款</t>
  </si>
  <si>
    <t xml:space="preserve">长期借款</t>
  </si>
  <si>
    <t xml:space="preserve">数据校验：</t>
  </si>
  <si>
    <t xml:space="preserve">总资产 = 负债 + 所有者权益（2025年末）</t>
  </si>
  <si>
    <t xml:space="preserve">分产品收入合计 ≈ 营业收入（2025年）</t>
  </si>
  <si>
    <t xml:space="preserve">异常发现与数据备注</t>
  </si>
  <si>
    <t xml:space="preserve">异常项</t>
  </si>
  <si>
    <t xml:space="preserve">说明</t>
  </si>
  <si>
    <t xml:space="preserve">存货大幅增长</t>
  </si>
  <si>
    <t xml:space="preserve">2025年末存货945.26亿元，较2024年末598.36亿元增长57.98%，主要因业务规模扩大、库存量增加（年报原文）。需重点核查存货跌价风险。</t>
  </si>
  <si>
    <t xml:space="preserve">2024年营收下滑</t>
  </si>
  <si>
    <t xml:space="preserve">2024年营业收入3620.13亿元，较2023年4009.17亿元下降9.70%，主要因电池价格下降及电池材料业务收入减少。</t>
  </si>
  <si>
    <t xml:space="preserve">电池材料业务毛利率跃升</t>
  </si>
  <si>
    <t xml:space="preserve">电池材料及回收业务毛利率从2024年10.51%升至2025年27.27%，提升16.76个百分点，主要因成本下降及产品结构优化。</t>
  </si>
  <si>
    <t xml:space="preserve">有息负债总额</t>
  </si>
  <si>
    <t xml:space="preserve">年报未直接披露"有息负债总额"汇总数。可由短期借款+一年内到期非流动负债+长期借款+应付债券+租赁负债自行汇总：2025年末约1196.56亿元，2024年末约1364.02亿元。</t>
  </si>
  <si>
    <t xml:space="preserve">应收账款/存货周转天数</t>
  </si>
  <si>
    <t xml:space="preserve">年报正文未直接披露现成周转天数指标。需以期初期末平均余额自行计算（需2022年末数据方可算2023年）。</t>
  </si>
  <si>
    <t xml:space="preserve">经营现金流含税说明</t>
  </si>
  <si>
    <t xml:space="preserve">经营活动现金流净额为现金流量表项目，不区分含税/不含税；其中"销售商品收到的现金"为含税金额（含增值税销项）。</t>
  </si>
  <si>
    <t xml:space="preserve">数据口径</t>
  </si>
  <si>
    <t xml:space="preserve">全部数据取自经审计的合并财务报表口径，单位已从千元换算为亿元（÷100,000），保留两位小数，尾差由四舍五入造成。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</si>
</sst>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微软雅黑"/>
      <family val="0"/>
      <charset val="1"/>
    </font>
    <font>
      <i val="true"/>
      <sz val="9"/>
      <color rgb="FF666666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b val="true"/>
      <sz val="10"/>
      <name val="微软雅黑"/>
      <family val="0"/>
      <charset val="1"/>
    </font>
    <font>
      <sz val="10"/>
      <name val="微软雅黑"/>
      <family val="0"/>
      <charset val="1"/>
    </font>
    <font>
      <b val="true"/>
      <sz val="13"/>
      <name val="微软雅黑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3" min="2" style="0" width="16"/>
    <col collapsed="false" customWidth="true" hidden="false" outlineLevel="0" max="4" min="4" style="0" width="19.99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24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" hidden="false" customHeight="true" outlineLevel="0" collapsed="false">
      <c r="A4" s="4" t="s">
        <v>7</v>
      </c>
      <c r="B4" s="4"/>
      <c r="C4" s="4"/>
      <c r="D4" s="4"/>
      <c r="E4" s="4"/>
    </row>
    <row r="5" customFormat="false" ht="15" hidden="false" customHeight="false" outlineLevel="0" collapsed="false">
      <c r="A5" s="5" t="s">
        <v>8</v>
      </c>
      <c r="B5" s="6" t="n">
        <v>3620.13</v>
      </c>
      <c r="C5" s="6" t="n">
        <v>4237.02</v>
      </c>
      <c r="D5" s="6" t="n">
        <f aca="false">C5-B5</f>
        <v>616.89</v>
      </c>
      <c r="E5" s="7" t="n">
        <f aca="false">IF(B5=0,"",(C5-B5)/ABS(B5))</f>
        <v>0.170405482676037</v>
      </c>
    </row>
    <row r="6" customFormat="false" ht="15" hidden="false" customHeight="false" outlineLevel="0" collapsed="false">
      <c r="A6" s="5" t="s">
        <v>9</v>
      </c>
      <c r="B6" s="6" t="n">
        <v>2735.19</v>
      </c>
      <c r="C6" s="6" t="n">
        <v>3123.83</v>
      </c>
      <c r="D6" s="6" t="n">
        <f aca="false">C6-B6</f>
        <v>388.64</v>
      </c>
      <c r="E6" s="7" t="n">
        <f aca="false">IF(B6=0,"",(C6-B6)/ABS(B6))</f>
        <v>0.142088849403515</v>
      </c>
    </row>
    <row r="7" customFormat="false" ht="15" hidden="false" customHeight="false" outlineLevel="0" collapsed="false">
      <c r="A7" s="5" t="s">
        <v>10</v>
      </c>
      <c r="B7" s="6" t="n">
        <v>507.45</v>
      </c>
      <c r="C7" s="6" t="n">
        <v>722.01</v>
      </c>
      <c r="D7" s="6" t="n">
        <f aca="false">C7-B7</f>
        <v>214.56</v>
      </c>
      <c r="E7" s="7" t="n">
        <f aca="false">IF(B7=0,"",(C7-B7)/ABS(B7))</f>
        <v>0.422819982264262</v>
      </c>
    </row>
    <row r="8" customFormat="false" ht="15" hidden="false" customHeight="false" outlineLevel="0" collapsed="false">
      <c r="A8" s="5" t="s">
        <v>11</v>
      </c>
      <c r="B8" s="7" t="n">
        <v>0.2413</v>
      </c>
      <c r="C8" s="7" t="n">
        <v>0.2491</v>
      </c>
      <c r="D8" s="6" t="n">
        <f aca="false">C8-B8</f>
        <v>0.0078</v>
      </c>
      <c r="E8" s="7" t="n">
        <f aca="false">IF(B8=0,"",(C8-B8)/ABS(B8))</f>
        <v>0.0323249067550767</v>
      </c>
    </row>
    <row r="9" customFormat="false" ht="15" hidden="false" customHeight="false" outlineLevel="0" collapsed="false">
      <c r="A9" s="5" t="s">
        <v>12</v>
      </c>
      <c r="B9" s="7" t="n">
        <v>0.1402</v>
      </c>
      <c r="C9" s="7" t="n">
        <v>0.1704</v>
      </c>
      <c r="D9" s="6" t="n">
        <f aca="false">C9-B9</f>
        <v>0.0302</v>
      </c>
      <c r="E9" s="7" t="n">
        <f aca="false">IF(B9=0,"",(C9-B9)/ABS(B9))</f>
        <v>0.215406562054208</v>
      </c>
    </row>
    <row r="10" customFormat="false" ht="15" hidden="false" customHeight="true" outlineLevel="0" collapsed="false">
      <c r="A10" s="4" t="s">
        <v>13</v>
      </c>
      <c r="B10" s="4"/>
      <c r="C10" s="4"/>
      <c r="D10" s="4"/>
      <c r="E10" s="4"/>
    </row>
    <row r="11" customFormat="false" ht="15" hidden="false" customHeight="false" outlineLevel="0" collapsed="false">
      <c r="A11" s="5" t="s">
        <v>14</v>
      </c>
      <c r="B11" s="6" t="n">
        <v>7866.58</v>
      </c>
      <c r="C11" s="6" t="n">
        <v>9748.28</v>
      </c>
      <c r="D11" s="6" t="n">
        <f aca="false">C11-B11</f>
        <v>1881.7</v>
      </c>
      <c r="E11" s="7" t="n">
        <f aca="false">IF(B11=0,"",(C11-B11)/ABS(B11))</f>
        <v>0.239201787816307</v>
      </c>
    </row>
    <row r="12" customFormat="false" ht="15" hidden="false" customHeight="false" outlineLevel="0" collapsed="false">
      <c r="A12" s="5" t="s">
        <v>15</v>
      </c>
      <c r="B12" s="6" t="n">
        <v>2469.3</v>
      </c>
      <c r="C12" s="6" t="n">
        <v>3371.08</v>
      </c>
      <c r="D12" s="6" t="n">
        <f aca="false">C12-B12</f>
        <v>901.78</v>
      </c>
      <c r="E12" s="7" t="n">
        <f aca="false">IF(B12=0,"",(C12-B12)/ABS(B12))</f>
        <v>0.365196614425141</v>
      </c>
    </row>
    <row r="13" customFormat="false" ht="15" hidden="false" customHeight="false" outlineLevel="0" collapsed="false">
      <c r="A13" s="5" t="s">
        <v>16</v>
      </c>
      <c r="B13" s="7" t="n">
        <v>0.6524</v>
      </c>
      <c r="C13" s="7" t="n">
        <v>0.6194</v>
      </c>
      <c r="D13" s="6" t="n">
        <f aca="false">C13-B13</f>
        <v>-0.033</v>
      </c>
      <c r="E13" s="7" t="n">
        <f aca="false">IF(B13=0,"",(C13-B13)/ABS(B13))</f>
        <v>-0.0505824647455549</v>
      </c>
    </row>
    <row r="14" customFormat="false" ht="15" hidden="false" customHeight="true" outlineLevel="0" collapsed="false">
      <c r="A14" s="4" t="s">
        <v>17</v>
      </c>
      <c r="B14" s="4"/>
      <c r="C14" s="4"/>
      <c r="D14" s="4"/>
      <c r="E14" s="4"/>
    </row>
    <row r="15" customFormat="false" ht="15" hidden="false" customHeight="false" outlineLevel="0" collapsed="false">
      <c r="A15" s="5" t="s">
        <v>18</v>
      </c>
      <c r="B15" s="6" t="n">
        <v>969.9</v>
      </c>
      <c r="C15" s="6" t="n">
        <v>1332.2</v>
      </c>
      <c r="D15" s="6" t="n">
        <f aca="false">C15-B15</f>
        <v>362.3</v>
      </c>
      <c r="E15" s="7" t="n">
        <f aca="false">IF(B15=0,"",(C15-B15)/ABS(B15))</f>
        <v>0.373543664295288</v>
      </c>
    </row>
    <row r="16" customFormat="false" ht="15" hidden="false" customHeight="true" outlineLevel="0" collapsed="false">
      <c r="A16" s="4" t="s">
        <v>19</v>
      </c>
      <c r="B16" s="4"/>
      <c r="C16" s="4"/>
      <c r="D16" s="4"/>
      <c r="E16" s="4"/>
    </row>
    <row r="17" customFormat="false" ht="15" hidden="false" customHeight="false" outlineLevel="0" collapsed="false">
      <c r="A17" s="5" t="s">
        <v>20</v>
      </c>
      <c r="B17" s="6" t="n">
        <v>186.07</v>
      </c>
      <c r="C17" s="6" t="n">
        <v>221.47</v>
      </c>
      <c r="D17" s="6" t="n">
        <f aca="false">C17-B17</f>
        <v>35.4</v>
      </c>
      <c r="E17" s="7" t="n">
        <f aca="false">IF(B17=0,"",(C17-B17)/ABS(B17))</f>
        <v>0.190250980813672</v>
      </c>
    </row>
    <row r="18" customFormat="false" ht="15" hidden="false" customHeight="false" outlineLevel="0" collapsed="false">
      <c r="A18" s="5" t="s">
        <v>21</v>
      </c>
      <c r="B18" s="7" t="n">
        <v>0.0514</v>
      </c>
      <c r="C18" s="7" t="n">
        <v>0.0523</v>
      </c>
      <c r="D18" s="6" t="n">
        <f aca="false">C18-B18</f>
        <v>0.000899999999999998</v>
      </c>
      <c r="E18" s="7" t="n">
        <f aca="false">IF(B18=0,"",(C18-B18)/ABS(B18))</f>
        <v>0.0175097276264591</v>
      </c>
    </row>
  </sheetData>
  <mergeCells count="6">
    <mergeCell ref="A1:E1"/>
    <mergeCell ref="A2:E2"/>
    <mergeCell ref="A4:E4"/>
    <mergeCell ref="A10:E10"/>
    <mergeCell ref="A14:E14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5" min="2" style="0" width="18"/>
  </cols>
  <sheetData>
    <row r="1" customFormat="false" ht="27.75" hidden="false" customHeight="true" outlineLevel="0" collapsed="false">
      <c r="A1" s="8" t="s">
        <v>22</v>
      </c>
      <c r="B1" s="8"/>
      <c r="C1" s="8"/>
      <c r="D1" s="8"/>
      <c r="E1" s="8"/>
    </row>
    <row r="2" customFormat="false" ht="24.75" hidden="false" customHeight="tru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</row>
    <row r="3" customFormat="false" ht="15" hidden="false" customHeight="false" outlineLevel="0" collapsed="false">
      <c r="A3" s="5" t="s">
        <v>28</v>
      </c>
      <c r="B3" s="6" t="n">
        <v>2530.41</v>
      </c>
      <c r="C3" s="6" t="n">
        <v>3165.06</v>
      </c>
      <c r="D3" s="7" t="n">
        <v>0.2394</v>
      </c>
      <c r="E3" s="7" t="n">
        <v>0.2384</v>
      </c>
    </row>
    <row r="4" customFormat="false" ht="15" hidden="false" customHeight="false" outlineLevel="0" collapsed="false">
      <c r="A4" s="5" t="s">
        <v>29</v>
      </c>
      <c r="B4" s="6" t="n">
        <v>572.9</v>
      </c>
      <c r="C4" s="6" t="n">
        <v>624.4</v>
      </c>
      <c r="D4" s="7" t="n">
        <v>0.2684</v>
      </c>
      <c r="E4" s="7" t="n">
        <v>0.2671</v>
      </c>
    </row>
    <row r="5" customFormat="false" ht="15" hidden="false" customHeight="false" outlineLevel="0" collapsed="false">
      <c r="A5" s="5" t="s">
        <v>30</v>
      </c>
      <c r="B5" s="6" t="n">
        <v>287</v>
      </c>
      <c r="C5" s="6" t="n">
        <v>218.61</v>
      </c>
      <c r="D5" s="7" t="n">
        <v>0.1051</v>
      </c>
      <c r="E5" s="7" t="n">
        <v>0.2727</v>
      </c>
    </row>
    <row r="6" customFormat="false" ht="15" hidden="false" customHeight="false" outlineLevel="0" collapsed="false">
      <c r="A6" s="5" t="s">
        <v>31</v>
      </c>
      <c r="B6" s="6" t="n">
        <v>54.93</v>
      </c>
      <c r="C6" s="6" t="n">
        <v>59.78</v>
      </c>
      <c r="D6" s="7" t="n">
        <v>0.0853</v>
      </c>
      <c r="E6" s="7" t="n">
        <v>0.1125</v>
      </c>
    </row>
    <row r="7" customFormat="false" ht="15" hidden="false" customHeight="false" outlineLevel="0" collapsed="false">
      <c r="A7" s="5" t="s">
        <v>32</v>
      </c>
      <c r="B7" s="6" t="n">
        <v>174.88</v>
      </c>
      <c r="C7" s="6" t="n">
        <v>169.17</v>
      </c>
      <c r="D7" s="9" t="s">
        <v>33</v>
      </c>
      <c r="E7" s="9" t="s">
        <v>33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5" min="2" style="0" width="18"/>
  </cols>
  <sheetData>
    <row r="1" customFormat="false" ht="27.75" hidden="false" customHeight="true" outlineLevel="0" collapsed="false">
      <c r="A1" s="8" t="s">
        <v>34</v>
      </c>
      <c r="B1" s="8"/>
      <c r="C1" s="8"/>
      <c r="D1" s="8"/>
      <c r="E1" s="8"/>
    </row>
    <row r="2" customFormat="false" ht="24.75" hidden="false" customHeight="tru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</row>
    <row r="3" customFormat="false" ht="15" hidden="false" customHeight="false" outlineLevel="0" collapsed="false">
      <c r="A3" s="5" t="s">
        <v>40</v>
      </c>
      <c r="B3" s="6" t="n">
        <v>797.71</v>
      </c>
      <c r="C3" s="6" t="n">
        <v>847.05</v>
      </c>
      <c r="D3" s="6" t="n">
        <v>105.1</v>
      </c>
      <c r="E3" s="6" t="n">
        <v>139.63</v>
      </c>
    </row>
    <row r="4" customFormat="false" ht="15" hidden="false" customHeight="false" outlineLevel="0" collapsed="false">
      <c r="A4" s="5" t="s">
        <v>41</v>
      </c>
      <c r="B4" s="6" t="n">
        <v>869.96</v>
      </c>
      <c r="C4" s="6" t="n">
        <v>941.82</v>
      </c>
      <c r="D4" s="6" t="n">
        <v>123.55</v>
      </c>
      <c r="E4" s="6" t="n">
        <v>165.23</v>
      </c>
    </row>
    <row r="5" customFormat="false" ht="15" hidden="false" customHeight="false" outlineLevel="0" collapsed="false">
      <c r="A5" s="5" t="s">
        <v>42</v>
      </c>
      <c r="B5" s="6" t="n">
        <v>922.78</v>
      </c>
      <c r="C5" s="6" t="n">
        <v>1041.86</v>
      </c>
      <c r="D5" s="6" t="n">
        <v>131.36</v>
      </c>
      <c r="E5" s="6" t="n">
        <v>185.49</v>
      </c>
    </row>
    <row r="6" customFormat="false" ht="15" hidden="false" customHeight="false" outlineLevel="0" collapsed="false">
      <c r="A6" s="5" t="s">
        <v>43</v>
      </c>
      <c r="B6" s="6" t="n">
        <v>1029.68</v>
      </c>
      <c r="C6" s="6" t="n">
        <v>1406.3</v>
      </c>
      <c r="D6" s="6" t="n">
        <v>147.44</v>
      </c>
      <c r="E6" s="6" t="n">
        <v>231.67</v>
      </c>
    </row>
    <row r="7" customFormat="false" ht="15" hidden="false" customHeight="false" outlineLevel="0" collapsed="false">
      <c r="A7" s="4" t="s">
        <v>44</v>
      </c>
      <c r="B7" s="10" t="n">
        <v>3620.13</v>
      </c>
      <c r="C7" s="10" t="n">
        <v>4237.02</v>
      </c>
      <c r="D7" s="10" t="n">
        <v>507.45</v>
      </c>
      <c r="E7" s="10" t="n">
        <v>722.01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8"/>
  </cols>
  <sheetData>
    <row r="1" customFormat="false" ht="27.75" hidden="false" customHeight="true" outlineLevel="0" collapsed="false">
      <c r="A1" s="8" t="s">
        <v>45</v>
      </c>
      <c r="B1" s="8"/>
      <c r="C1" s="8"/>
      <c r="D1" s="8"/>
      <c r="E1" s="8"/>
    </row>
    <row r="2" customFormat="false" ht="24.75" hidden="false" customHeight="true" outlineLevel="0" collapsed="false">
      <c r="A2" s="3" t="s">
        <v>46</v>
      </c>
      <c r="B2" s="3" t="s">
        <v>47</v>
      </c>
      <c r="C2" s="3" t="s">
        <v>48</v>
      </c>
      <c r="D2" s="3" t="s">
        <v>49</v>
      </c>
      <c r="E2" s="3" t="s">
        <v>6</v>
      </c>
    </row>
    <row r="3" customFormat="false" ht="15" hidden="false" customHeight="false" outlineLevel="0" collapsed="false">
      <c r="A3" s="5" t="s">
        <v>50</v>
      </c>
      <c r="B3" s="6" t="n">
        <v>3035.12</v>
      </c>
      <c r="C3" s="6" t="n">
        <v>3335.13</v>
      </c>
      <c r="D3" s="6" t="n">
        <f aca="false">C3-B3</f>
        <v>300.01</v>
      </c>
      <c r="E3" s="7" t="n">
        <f aca="false">IF(B3=0,"",(C3-B3)/ABS(B3))</f>
        <v>0.0988461741216164</v>
      </c>
    </row>
    <row r="4" customFormat="false" ht="15" hidden="false" customHeight="false" outlineLevel="0" collapsed="false">
      <c r="A4" s="5" t="s">
        <v>51</v>
      </c>
      <c r="B4" s="6" t="n">
        <v>641.36</v>
      </c>
      <c r="C4" s="6" t="n">
        <v>764.03</v>
      </c>
      <c r="D4" s="6" t="n">
        <f aca="false">C4-B4</f>
        <v>122.67</v>
      </c>
      <c r="E4" s="7" t="n">
        <f aca="false">IF(B4=0,"",(C4-B4)/ABS(B4))</f>
        <v>0.191265435948609</v>
      </c>
    </row>
    <row r="5" customFormat="false" ht="15" hidden="false" customHeight="false" outlineLevel="0" collapsed="false">
      <c r="A5" s="5" t="s">
        <v>52</v>
      </c>
      <c r="B5" s="11" t="n">
        <v>598.36</v>
      </c>
      <c r="C5" s="11" t="n">
        <v>945.26</v>
      </c>
      <c r="D5" s="11" t="n">
        <f aca="false">C5-B5</f>
        <v>346.9</v>
      </c>
      <c r="E5" s="12" t="n">
        <f aca="false">IF(B5=0,"",(C5-B5)/ABS(B5))</f>
        <v>0.579751320275419</v>
      </c>
    </row>
    <row r="6" customFormat="false" ht="15" hidden="false" customHeight="false" outlineLevel="0" collapsed="false">
      <c r="A6" s="5" t="s">
        <v>53</v>
      </c>
      <c r="B6" s="6" t="n">
        <v>1125.89</v>
      </c>
      <c r="C6" s="6" t="n">
        <v>1464.01</v>
      </c>
      <c r="D6" s="6" t="n">
        <f aca="false">C6-B6</f>
        <v>338.12</v>
      </c>
      <c r="E6" s="7" t="n">
        <f aca="false">IF(B6=0,"",(C6-B6)/ABS(B6))</f>
        <v>0.300313529740916</v>
      </c>
    </row>
    <row r="7" customFormat="false" ht="15" hidden="false" customHeight="false" outlineLevel="0" collapsed="false">
      <c r="A7" s="5" t="s">
        <v>54</v>
      </c>
      <c r="B7" s="6" t="n">
        <v>196.96</v>
      </c>
      <c r="C7" s="6" t="n">
        <v>129.35</v>
      </c>
      <c r="D7" s="6" t="n">
        <f aca="false">C7-B7</f>
        <v>-67.61</v>
      </c>
      <c r="E7" s="7" t="n">
        <f aca="false">IF(B7=0,"",(C7-B7)/ABS(B7))</f>
        <v>-0.343267668562145</v>
      </c>
    </row>
    <row r="8" customFormat="false" ht="15" hidden="false" customHeight="false" outlineLevel="0" collapsed="false">
      <c r="A8" s="5" t="s">
        <v>55</v>
      </c>
      <c r="B8" s="6" t="n">
        <v>812.38</v>
      </c>
      <c r="C8" s="6" t="n">
        <v>782.35</v>
      </c>
      <c r="D8" s="6" t="n">
        <f aca="false">C8-B8</f>
        <v>-30.03</v>
      </c>
      <c r="E8" s="7" t="n">
        <f aca="false">IF(B8=0,"",(C8-B8)/ABS(B8))</f>
        <v>-0.0369654595140205</v>
      </c>
    </row>
    <row r="10" customFormat="false" ht="15" hidden="false" customHeight="false" outlineLevel="0" collapsed="false">
      <c r="A10" s="13" t="s">
        <v>56</v>
      </c>
    </row>
    <row r="11" customFormat="false" ht="15" hidden="false" customHeight="false" outlineLevel="0" collapsed="false">
      <c r="A11" s="14" t="s">
        <v>57</v>
      </c>
      <c r="B11" s="15" t="n">
        <v>9748.28</v>
      </c>
      <c r="C11" s="15" t="n">
        <f aca="false">6038.01+3710.26</f>
        <v>9748.27</v>
      </c>
      <c r="D11" s="14" t="str">
        <f aca="false">IF(ABS(B11-C11)&lt;0.5,"校验通过","校验失败")</f>
        <v>校验通过</v>
      </c>
    </row>
    <row r="12" customFormat="false" ht="15" hidden="false" customHeight="false" outlineLevel="0" collapsed="false">
      <c r="A12" s="14" t="s">
        <v>58</v>
      </c>
      <c r="B12" s="15" t="n">
        <v>4237.02</v>
      </c>
      <c r="C12" s="15" t="n">
        <f aca="false">3165.06+624.4+218.61+59.78+169.17</f>
        <v>4237.02</v>
      </c>
      <c r="D12" s="14" t="str">
        <f aca="false">IF(ABS(B12-C12)&lt;1,"校验通过","校验失败")</f>
        <v>校验通过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.01"/>
  </cols>
  <sheetData>
    <row r="1" customFormat="false" ht="27.75" hidden="false" customHeight="true" outlineLevel="0" collapsed="false">
      <c r="A1" s="8" t="s">
        <v>59</v>
      </c>
      <c r="B1" s="8"/>
    </row>
    <row r="2" customFormat="false" ht="15" hidden="false" customHeight="false" outlineLevel="0" collapsed="false">
      <c r="A2" s="3" t="s">
        <v>60</v>
      </c>
      <c r="B2" s="3" t="s">
        <v>61</v>
      </c>
    </row>
    <row r="3" customFormat="false" ht="45" hidden="false" customHeight="true" outlineLevel="0" collapsed="false">
      <c r="A3" s="16" t="s">
        <v>62</v>
      </c>
      <c r="B3" s="16" t="s">
        <v>63</v>
      </c>
    </row>
    <row r="4" customFormat="false" ht="45" hidden="false" customHeight="true" outlineLevel="0" collapsed="false">
      <c r="A4" s="16" t="s">
        <v>64</v>
      </c>
      <c r="B4" s="16" t="s">
        <v>65</v>
      </c>
    </row>
    <row r="5" customFormat="false" ht="45" hidden="false" customHeight="true" outlineLevel="0" collapsed="false">
      <c r="A5" s="16" t="s">
        <v>66</v>
      </c>
      <c r="B5" s="16" t="s">
        <v>67</v>
      </c>
    </row>
    <row r="6" customFormat="false" ht="45" hidden="false" customHeight="true" outlineLevel="0" collapsed="false">
      <c r="A6" s="16" t="s">
        <v>68</v>
      </c>
      <c r="B6" s="16" t="s">
        <v>69</v>
      </c>
    </row>
    <row r="7" customFormat="false" ht="45" hidden="false" customHeight="true" outlineLevel="0" collapsed="false">
      <c r="A7" s="16" t="s">
        <v>70</v>
      </c>
      <c r="B7" s="16" t="s">
        <v>71</v>
      </c>
    </row>
    <row r="8" customFormat="false" ht="45" hidden="false" customHeight="true" outlineLevel="0" collapsed="false">
      <c r="A8" s="16" t="s">
        <v>72</v>
      </c>
      <c r="B8" s="16" t="s">
        <v>73</v>
      </c>
    </row>
    <row r="9" customFormat="false" ht="45" hidden="false" customHeight="true" outlineLevel="0" collapsed="false">
      <c r="A9" s="16" t="s">
        <v>74</v>
      </c>
      <c r="B9" s="16" t="s">
        <v>75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2026-08-17T06:56:40Z</dcterms:created>
  <dc:creator>openpyxl</dc:creator>
  <dc:description/>
  <dc:language>en-US</dc:language>
  <cp:lastModifiedBy/>
  <dcterms:modified xsi:type="dcterms:W3CDTF">2026-08-17T06:56:40Z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