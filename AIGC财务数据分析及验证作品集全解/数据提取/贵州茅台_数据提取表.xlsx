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核心财务指标对比" sheetId="1" state="visible" r:id="rId2"/>
    <sheet name="分产品毛利率" sheetId="2" state="visible" r:id="rId3"/>
    <sheet name="分季度数据" sheetId="3" state="visible" r:id="rId4"/>
    <sheet name="资产负债表辅助数据" sheetId="4" state="visible" r:id="rId5"/>
    <sheet name="异常发现与备注" sheetId="5"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<sst xmlns="http://schemas.openxmlformats.org/spreadsheetml/2006/main" count="79" uniqueCount="78">
  <si>
    <t xml:space="preserve">贵州茅台（600519）核心财务数据提取表（2024 vs 2025）</t>
  </si>
  <si>
    <t xml:space="preserve">数据来源：贵州茅台2024年年度报告、2025年年度报告（经审计合并报表口径）  单位：亿元人民币</t>
  </si>
  <si>
    <t xml:space="preserve">指标名称</t>
  </si>
  <si>
    <t xml:space="preserve">2024年</t>
  </si>
  <si>
    <t xml:space="preserve">2025年</t>
  </si>
  <si>
    <t xml:space="preserve">变动额(2025-2024)</t>
  </si>
  <si>
    <t xml:space="preserve">变动百分比</t>
  </si>
  <si>
    <t xml:space="preserve">一、利润表指标</t>
  </si>
  <si>
    <t xml:space="preserve">营业收入</t>
  </si>
  <si>
    <t xml:space="preserve">营业成本</t>
  </si>
  <si>
    <t xml:space="preserve">归母净利润</t>
  </si>
  <si>
    <t xml:space="preserve">加权平均ROE</t>
  </si>
  <si>
    <t xml:space="preserve">净利率(归母/营收)</t>
  </si>
  <si>
    <t xml:space="preserve">二、资产负债表指标</t>
  </si>
  <si>
    <t xml:space="preserve">总资产</t>
  </si>
  <si>
    <t xml:space="preserve">归母净资产</t>
  </si>
  <si>
    <t xml:space="preserve">资产负债率</t>
  </si>
  <si>
    <t xml:space="preserve">三、现金流量表指标</t>
  </si>
  <si>
    <t xml:space="preserve">经营活动现金流净额</t>
  </si>
  <si>
    <t xml:space="preserve">四、研发投入</t>
  </si>
  <si>
    <t xml:space="preserve">研发投入合计(费用化+资本化)</t>
  </si>
  <si>
    <t xml:space="preserve">研发投入占营收比重</t>
  </si>
  <si>
    <t xml:space="preserve">分产品收入与毛利率（2024 vs 2025）</t>
  </si>
  <si>
    <t xml:space="preserve">产品类别</t>
  </si>
  <si>
    <t xml:space="preserve">2024年收入(亿元)</t>
  </si>
  <si>
    <t xml:space="preserve">2025年收入(亿元)</t>
  </si>
  <si>
    <t xml:space="preserve">2024年毛利率</t>
  </si>
  <si>
    <t xml:space="preserve">2025年毛利率</t>
  </si>
  <si>
    <t xml:space="preserve">茅台酒</t>
  </si>
  <si>
    <t xml:space="preserve">其他系列酒</t>
  </si>
  <si>
    <t xml:space="preserve">酒类合计</t>
  </si>
  <si>
    <t xml:space="preserve">分季度营业收入与归母净利润（单位：亿元）</t>
  </si>
  <si>
    <t xml:space="preserve">季度</t>
  </si>
  <si>
    <t xml:space="preserve">2024年营收</t>
  </si>
  <si>
    <t xml:space="preserve">2025年营收</t>
  </si>
  <si>
    <t xml:space="preserve">2024年归母净利</t>
  </si>
  <si>
    <t xml:space="preserve">2025年归母净利</t>
  </si>
  <si>
    <t xml:space="preserve">Q1</t>
  </si>
  <si>
    <t xml:space="preserve">Q2</t>
  </si>
  <si>
    <t xml:space="preserve">Q3</t>
  </si>
  <si>
    <t xml:space="preserve">Q4</t>
  </si>
  <si>
    <t xml:space="preserve">全年合计</t>
  </si>
  <si>
    <t xml:space="preserve">资产负债表关键科目（年末余额，单位：亿元）</t>
  </si>
  <si>
    <t xml:space="preserve">科目名称</t>
  </si>
  <si>
    <t xml:space="preserve">2024年末</t>
  </si>
  <si>
    <t xml:space="preserve">2025年末</t>
  </si>
  <si>
    <t xml:space="preserve">变动额</t>
  </si>
  <si>
    <t xml:space="preserve">货币资金</t>
  </si>
  <si>
    <t xml:space="preserve">应收账款</t>
  </si>
  <si>
    <t xml:space="preserve">存货</t>
  </si>
  <si>
    <t xml:space="preserve">固定资产</t>
  </si>
  <si>
    <t xml:space="preserve">短期借款</t>
  </si>
  <si>
    <t xml:space="preserve">长期借款</t>
  </si>
  <si>
    <t xml:space="preserve">拆出资金(财务公司)</t>
  </si>
  <si>
    <t xml:space="preserve">数据校验：</t>
  </si>
  <si>
    <t xml:space="preserve">总资产 = 负债 + 所有者权益（2025年末）</t>
  </si>
  <si>
    <t xml:space="preserve">分产品收入合计 ≈ 营业收入（2025年）</t>
  </si>
  <si>
    <t xml:space="preserve">异常发现与数据备注</t>
  </si>
  <si>
    <t xml:space="preserve">异常项</t>
  </si>
  <si>
    <t xml:space="preserve">说明</t>
  </si>
  <si>
    <t xml:space="preserve">营收利润双降（黄色标记）</t>
  </si>
  <si>
    <t xml:space="preserve">2025年营业收入1688.38亿元，同比-1.21%；归母净利润823.20亿元，同比-4.53%。为近年来首次出现营收和归母净利润双降，需重点关注白酒行业需求变化及公司渠道调整。</t>
  </si>
  <si>
    <t xml:space="preserve">经营现金流大幅下降（黄色标记）</t>
  </si>
  <si>
    <t xml:space="preserve">2025年经营活动现金流净额615.22亿元，同比-33.46%。年报解释：主要因控股子公司贵州茅台集团财务有限公司吸收集团成员单位存款减少及不可随时支取的同业存款增加。</t>
  </si>
  <si>
    <t xml:space="preserve">Q4营收利润大幅下滑</t>
  </si>
  <si>
    <t xml:space="preserve">2025年Q4营收403.84亿元（同比-19.43%），归母净利176.93亿元（同比-30.34%），四季度显著走弱。</t>
  </si>
  <si>
    <t xml:space="preserve">系列酒收入下滑</t>
  </si>
  <si>
    <t xml:space="preserve">其他系列酒收入222.75亿元，同比-9.76%，毛利率从79.87%降至76.11%，下降3.76个百分点。</t>
  </si>
  <si>
    <t xml:space="preserve">无有息负债</t>
  </si>
  <si>
    <t xml:space="preserve">公司无短期借款、长期借款，财务极度稳健。有息负债仅含少量租赁负债（2025年末1.90亿元）。</t>
  </si>
  <si>
    <t xml:space="preserve">研发投入口径说明</t>
  </si>
  <si>
    <t xml:space="preserve">年报"研发投入合计"包含费用化+资本化：2025年8.03亿元（费用化6.75亿+资本化1.28亿），占营收0.48%；利润表"研发费用"仅为费用化部分1.90亿元（含列入生产成本的研发支出）。本表采用"研发投入合计"口径。</t>
  </si>
  <si>
    <t xml:space="preserve">应收账款极低</t>
  </si>
  <si>
    <t xml:space="preserve">2025年末应收账款仅260.90万元，因公司以先款后货模式为主，几乎无应收账款。</t>
  </si>
  <si>
    <t xml:space="preserve">经营现金流含税说明</t>
  </si>
  <si>
    <t xml:space="preserve">经营活动现金流净额为现金流量表项目，不区分含税/不含税；其中"销售商品收到的现金"为含税金额（含增值税销项）。</t>
  </si>
  <si>
    <t xml:space="preserve">数据口径</t>
  </si>
  <si>
    <t xml:space="preserve">全部数据取自经审计的合并财务报表口径，单位已从元换算为亿元（÷100,000,000），保留两位小数，尾差由四舍五入造成。</t>
  </si>
</sst>
</file>

<file path=xl/styles.xml><?xml version="1.0" encoding="utf-8"?>
<styleSheet xmlns="http://schemas.openxmlformats.org/spreadsheetml/2006/main">
  <numFmts count="3">
    <numFmt numFmtId="164" formatCode="General"/>
    <numFmt numFmtId="165" formatCode="#,##0.00"/>
    <numFmt numFmtId="166" formatCode="0.00%"/>
  </numFmts>
  <fonts count="10">
    <font>
      <sz val="11"/>
      <color rgb="FF000000"/>
      <name val="Calibri"/>
      <family val="2"/>
      <charset val="1"/>
    </font>
    <font>
      <sz val="10"/>
      <name val="Arial"/>
      <family val="0"/>
    </font>
    <font>
      <sz val="10"/>
      <name val="Arial"/>
      <family val="0"/>
    </font>
    <font>
      <sz val="10"/>
      <name val="Arial"/>
      <family val="0"/>
    </font>
    <font>
      <b val="true"/>
      <sz val="14"/>
      <name val="微软雅黑"/>
      <family val="0"/>
      <charset val="1"/>
    </font>
    <font>
      <i val="true"/>
      <sz val="9"/>
      <color rgb="FF666666"/>
      <name val="微软雅黑"/>
      <family val="0"/>
      <charset val="1"/>
    </font>
    <font>
      <b val="true"/>
      <sz val="11"/>
      <color rgb="FFFFFFFF"/>
      <name val="微软雅黑"/>
      <family val="0"/>
      <charset val="1"/>
    </font>
    <font>
      <b val="true"/>
      <sz val="10"/>
      <name val="微软雅黑"/>
      <family val="0"/>
      <charset val="1"/>
    </font>
    <font>
      <sz val="10"/>
      <name val="微软雅黑"/>
      <family val="0"/>
      <charset val="1"/>
    </font>
    <font>
      <b val="true"/>
      <sz val="13"/>
      <name val="微软雅黑"/>
      <family val="0"/>
      <charset val="1"/>
    </font>
  </fonts>
  <fills count="5">
    <fill>
      <patternFill patternType="none"/>
    </fill>
    <fill>
      <patternFill patternType="gray125"/>
    </fill>
    <fill>
      <patternFill patternType="solid">
        <fgColor rgb="FF1F4E79"/>
        <bgColor rgb="FF003366"/>
      </patternFill>
    </fill>
    <fill>
      <patternFill patternType="solid">
        <fgColor rgb="FFD6E4F0"/>
        <bgColor rgb="FFCCFFFF"/>
      </patternFill>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5" fontId="8" fillId="4" borderId="1" xfId="0" applyFont="true" applyBorder="true" applyAlignment="true" applyProtection="false">
      <alignment horizontal="right" vertical="center" textRotation="0" wrapText="false" indent="0" shrinkToFit="false"/>
      <protection locked="true" hidden="false"/>
    </xf>
    <xf numFmtId="166" fontId="8" fillId="4" borderId="1" xfId="0" applyFont="true" applyBorder="true" applyAlignment="true" applyProtection="false">
      <alignment horizontal="right" vertical="center" textRotation="0" wrapText="false" indent="0" shrinkToFit="false"/>
      <protection locked="true" hidden="false"/>
    </xf>
    <xf numFmtId="165" fontId="8" fillId="0" borderId="1" xfId="0" applyFont="true" applyBorder="true" applyAlignment="true" applyProtection="false">
      <alignment horizontal="right" vertical="center" textRotation="0" wrapText="false" indent="0" shrinkToFit="false"/>
      <protection locked="true" hidden="false"/>
    </xf>
    <xf numFmtId="166" fontId="8" fillId="0" borderId="1" xfId="0" applyFont="true" applyBorder="true" applyAlignment="true" applyProtection="false">
      <alignment horizontal="right" vertical="center" textRotation="0" wrapText="false" indent="0" shrinkToFit="false"/>
      <protection locked="true" hidden="false"/>
    </xf>
    <xf numFmtId="164" fontId="9" fillId="0" borderId="0" xfId="0" applyFont="true" applyBorder="true" applyAlignment="true" applyProtection="false">
      <alignment horizontal="center" vertical="center" textRotation="0" wrapText="true" indent="0" shrinkToFit="false"/>
      <protection locked="true" hidden="false"/>
    </xf>
    <xf numFmtId="165" fontId="7" fillId="3" borderId="1" xfId="0" applyFont="true" applyBorder="true" applyAlignment="true" applyProtection="false">
      <alignment horizontal="right" vertical="center" textRotation="0" wrapText="false" indent="0" shrinkToFit="false"/>
      <protection locked="true" hidden="false"/>
    </xf>
    <xf numFmtId="166" fontId="7" fillId="3" borderId="1" xfId="0" applyFont="true" applyBorder="true" applyAlignment="true" applyProtection="false">
      <alignment horizontal="right"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30.01"/>
    <col collapsed="false" customWidth="true" hidden="false" outlineLevel="0" max="5" min="2" style="0" width="18"/>
  </cols>
  <sheetData>
    <row r="1" customFormat="false" ht="30" hidden="false" customHeight="true" outlineLevel="0" collapsed="false">
      <c r="A1" s="1" t="s">
        <v>0</v>
      </c>
      <c r="B1" s="1"/>
      <c r="C1" s="1"/>
      <c r="D1" s="1"/>
      <c r="E1" s="1"/>
    </row>
    <row r="2" customFormat="false" ht="15" hidden="false" customHeight="true" outlineLevel="0" collapsed="false">
      <c r="A2" s="2" t="s">
        <v>1</v>
      </c>
      <c r="B2" s="2"/>
      <c r="C2" s="2"/>
      <c r="D2" s="2"/>
      <c r="E2" s="2"/>
    </row>
    <row r="3" customFormat="false" ht="24.75" hidden="false" customHeight="true" outlineLevel="0" collapsed="false">
      <c r="A3" s="3" t="s">
        <v>2</v>
      </c>
      <c r="B3" s="3" t="s">
        <v>3</v>
      </c>
      <c r="C3" s="3" t="s">
        <v>4</v>
      </c>
      <c r="D3" s="3" t="s">
        <v>5</v>
      </c>
      <c r="E3" s="3" t="s">
        <v>6</v>
      </c>
    </row>
    <row r="4" customFormat="false" ht="15" hidden="false" customHeight="true" outlineLevel="0" collapsed="false">
      <c r="A4" s="4" t="s">
        <v>7</v>
      </c>
      <c r="B4" s="4"/>
      <c r="C4" s="4"/>
      <c r="D4" s="4"/>
      <c r="E4" s="4"/>
    </row>
    <row r="5" customFormat="false" ht="15" hidden="false" customHeight="false" outlineLevel="0" collapsed="false">
      <c r="A5" s="5" t="s">
        <v>8</v>
      </c>
      <c r="B5" s="6" t="n">
        <v>1708.99</v>
      </c>
      <c r="C5" s="6" t="n">
        <v>1688.38</v>
      </c>
      <c r="D5" s="6" t="n">
        <f aca="false">C5-B5</f>
        <v>-20.6099999999999</v>
      </c>
      <c r="E5" s="7" t="n">
        <f aca="false">IF(B5=0,"",(C5-B5)/ABS(B5))</f>
        <v>-0.0120597545918934</v>
      </c>
    </row>
    <row r="6" customFormat="false" ht="15" hidden="false" customHeight="false" outlineLevel="0" collapsed="false">
      <c r="A6" s="5" t="s">
        <v>9</v>
      </c>
      <c r="B6" s="8" t="n">
        <v>137.89</v>
      </c>
      <c r="C6" s="8" t="n">
        <v>148.92</v>
      </c>
      <c r="D6" s="8" t="n">
        <f aca="false">C6-B6</f>
        <v>11.03</v>
      </c>
      <c r="E6" s="9" t="n">
        <f aca="false">IF(B6=0,"",(C6-B6)/ABS(B6))</f>
        <v>0.0799912974109798</v>
      </c>
    </row>
    <row r="7" customFormat="false" ht="15" hidden="false" customHeight="false" outlineLevel="0" collapsed="false">
      <c r="A7" s="5" t="s">
        <v>10</v>
      </c>
      <c r="B7" s="6" t="n">
        <v>862.28</v>
      </c>
      <c r="C7" s="6" t="n">
        <v>823.2</v>
      </c>
      <c r="D7" s="6" t="n">
        <f aca="false">C7-B7</f>
        <v>-39.0799999999999</v>
      </c>
      <c r="E7" s="7" t="n">
        <f aca="false">IF(B7=0,"",(C7-B7)/ABS(B7))</f>
        <v>-0.0453217052465556</v>
      </c>
    </row>
    <row r="8" customFormat="false" ht="15" hidden="false" customHeight="false" outlineLevel="0" collapsed="false">
      <c r="A8" s="5" t="s">
        <v>11</v>
      </c>
      <c r="B8" s="9" t="n">
        <v>0.3602</v>
      </c>
      <c r="C8" s="9" t="n">
        <v>0.3253</v>
      </c>
      <c r="D8" s="8" t="n">
        <f aca="false">C8-B8</f>
        <v>-0.0349</v>
      </c>
      <c r="E8" s="9" t="n">
        <f aca="false">IF(B8=0,"",(C8-B8)/ABS(B8))</f>
        <v>-0.0968906163242644</v>
      </c>
    </row>
    <row r="9" customFormat="false" ht="15" hidden="false" customHeight="false" outlineLevel="0" collapsed="false">
      <c r="A9" s="5" t="s">
        <v>12</v>
      </c>
      <c r="B9" s="9" t="n">
        <v>0.5046</v>
      </c>
      <c r="C9" s="9" t="n">
        <v>0.4876</v>
      </c>
      <c r="D9" s="8" t="n">
        <f aca="false">C9-B9</f>
        <v>-0.0170000000000001</v>
      </c>
      <c r="E9" s="9" t="n">
        <f aca="false">IF(B9=0,"",(C9-B9)/ABS(B9))</f>
        <v>-0.0336900515259613</v>
      </c>
    </row>
    <row r="10" customFormat="false" ht="15" hidden="false" customHeight="true" outlineLevel="0" collapsed="false">
      <c r="A10" s="4" t="s">
        <v>13</v>
      </c>
      <c r="B10" s="4"/>
      <c r="C10" s="4"/>
      <c r="D10" s="4"/>
      <c r="E10" s="4"/>
    </row>
    <row r="11" customFormat="false" ht="15" hidden="false" customHeight="false" outlineLevel="0" collapsed="false">
      <c r="A11" s="5" t="s">
        <v>14</v>
      </c>
      <c r="B11" s="8" t="n">
        <v>2989.45</v>
      </c>
      <c r="C11" s="8" t="n">
        <v>3038.35</v>
      </c>
      <c r="D11" s="8" t="n">
        <f aca="false">C11-B11</f>
        <v>48.9000000000001</v>
      </c>
      <c r="E11" s="9" t="n">
        <f aca="false">IF(B11=0,"",(C11-B11)/ABS(B11))</f>
        <v>0.0163575239592567</v>
      </c>
    </row>
    <row r="12" customFormat="false" ht="15" hidden="false" customHeight="false" outlineLevel="0" collapsed="false">
      <c r="A12" s="5" t="s">
        <v>15</v>
      </c>
      <c r="B12" s="8" t="n">
        <v>2331.06</v>
      </c>
      <c r="C12" s="8" t="n">
        <v>2446.38</v>
      </c>
      <c r="D12" s="8" t="n">
        <f aca="false">C12-B12</f>
        <v>115.32</v>
      </c>
      <c r="E12" s="9" t="n">
        <f aca="false">IF(B12=0,"",(C12-B12)/ABS(B12))</f>
        <v>0.0494710560860725</v>
      </c>
    </row>
    <row r="13" customFormat="false" ht="15" hidden="false" customHeight="false" outlineLevel="0" collapsed="false">
      <c r="A13" s="5" t="s">
        <v>16</v>
      </c>
      <c r="B13" s="9" t="n">
        <v>0.1904</v>
      </c>
      <c r="C13" s="9" t="n">
        <v>0.1642</v>
      </c>
      <c r="D13" s="8" t="n">
        <f aca="false">C13-B13</f>
        <v>-0.0262</v>
      </c>
      <c r="E13" s="9" t="n">
        <f aca="false">IF(B13=0,"",(C13-B13)/ABS(B13))</f>
        <v>-0.137605042016807</v>
      </c>
    </row>
    <row r="14" customFormat="false" ht="15" hidden="false" customHeight="true" outlineLevel="0" collapsed="false">
      <c r="A14" s="4" t="s">
        <v>17</v>
      </c>
      <c r="B14" s="4"/>
      <c r="C14" s="4"/>
      <c r="D14" s="4"/>
      <c r="E14" s="4"/>
    </row>
    <row r="15" customFormat="false" ht="15" hidden="false" customHeight="false" outlineLevel="0" collapsed="false">
      <c r="A15" s="5" t="s">
        <v>18</v>
      </c>
      <c r="B15" s="6" t="n">
        <v>924.64</v>
      </c>
      <c r="C15" s="6" t="n">
        <v>615.22</v>
      </c>
      <c r="D15" s="6" t="n">
        <f aca="false">C15-B15</f>
        <v>-309.42</v>
      </c>
      <c r="E15" s="7" t="n">
        <f aca="false">IF(B15=0,"",(C15-B15)/ABS(B15))</f>
        <v>-0.334638345734556</v>
      </c>
    </row>
    <row r="16" customFormat="false" ht="15" hidden="false" customHeight="true" outlineLevel="0" collapsed="false">
      <c r="A16" s="4" t="s">
        <v>19</v>
      </c>
      <c r="B16" s="4"/>
      <c r="C16" s="4"/>
      <c r="D16" s="4"/>
      <c r="E16" s="4"/>
    </row>
    <row r="17" customFormat="false" ht="15" hidden="false" customHeight="false" outlineLevel="0" collapsed="false">
      <c r="A17" s="5" t="s">
        <v>20</v>
      </c>
      <c r="B17" s="8" t="n">
        <v>6.95</v>
      </c>
      <c r="C17" s="8" t="n">
        <v>8.03</v>
      </c>
      <c r="D17" s="8" t="n">
        <f aca="false">C17-B17</f>
        <v>1.08</v>
      </c>
      <c r="E17" s="9" t="n">
        <f aca="false">IF(B17=0,"",(C17-B17)/ABS(B17))</f>
        <v>0.155395683453237</v>
      </c>
    </row>
    <row r="18" customFormat="false" ht="15" hidden="false" customHeight="false" outlineLevel="0" collapsed="false">
      <c r="A18" s="5" t="s">
        <v>21</v>
      </c>
      <c r="B18" s="9" t="n">
        <v>0.0041</v>
      </c>
      <c r="C18" s="9" t="n">
        <v>0.0048</v>
      </c>
      <c r="D18" s="8" t="n">
        <f aca="false">C18-B18</f>
        <v>0.000699999999999999</v>
      </c>
      <c r="E18" s="9" t="n">
        <f aca="false">IF(B18=0,"",(C18-B18)/ABS(B18))</f>
        <v>0.170731707317073</v>
      </c>
    </row>
  </sheetData>
  <mergeCells count="6">
    <mergeCell ref="A1:E1"/>
    <mergeCell ref="A2:E2"/>
    <mergeCell ref="A4:E4"/>
    <mergeCell ref="A10:E10"/>
    <mergeCell ref="A14:E14"/>
    <mergeCell ref="A16:E1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cols>
    <col collapsed="false" customWidth="true" hidden="false" outlineLevel="0" max="5" min="1" style="0" width="19.99"/>
  </cols>
  <sheetData>
    <row r="1" customFormat="false" ht="27.75" hidden="false" customHeight="true" outlineLevel="0" collapsed="false">
      <c r="A1" s="10" t="s">
        <v>22</v>
      </c>
      <c r="B1" s="10"/>
      <c r="C1" s="10"/>
      <c r="D1" s="10"/>
      <c r="E1" s="10"/>
    </row>
    <row r="2" customFormat="false" ht="24.75" hidden="false" customHeight="true" outlineLevel="0" collapsed="false">
      <c r="A2" s="3" t="s">
        <v>23</v>
      </c>
      <c r="B2" s="3" t="s">
        <v>24</v>
      </c>
      <c r="C2" s="3" t="s">
        <v>25</v>
      </c>
      <c r="D2" s="3" t="s">
        <v>26</v>
      </c>
      <c r="E2" s="3" t="s">
        <v>27</v>
      </c>
    </row>
    <row r="3" customFormat="false" ht="15" hidden="false" customHeight="false" outlineLevel="0" collapsed="false">
      <c r="A3" s="5" t="s">
        <v>28</v>
      </c>
      <c r="B3" s="8" t="n">
        <v>1459.28</v>
      </c>
      <c r="C3" s="8" t="n">
        <v>1464.99</v>
      </c>
      <c r="D3" s="9" t="n">
        <v>0.9406</v>
      </c>
      <c r="E3" s="9" t="n">
        <v>0.9353</v>
      </c>
    </row>
    <row r="4" customFormat="false" ht="15" hidden="false" customHeight="false" outlineLevel="0" collapsed="false">
      <c r="A4" s="5" t="s">
        <v>29</v>
      </c>
      <c r="B4" s="8" t="n">
        <v>246.84</v>
      </c>
      <c r="C4" s="8" t="n">
        <v>222.75</v>
      </c>
      <c r="D4" s="9" t="n">
        <v>0.7987</v>
      </c>
      <c r="E4" s="9" t="n">
        <v>0.7611</v>
      </c>
    </row>
    <row r="5" customFormat="false" ht="15" hidden="false" customHeight="false" outlineLevel="0" collapsed="false">
      <c r="A5" s="4" t="s">
        <v>30</v>
      </c>
      <c r="B5" s="11" t="n">
        <v>1706.12</v>
      </c>
      <c r="C5" s="11" t="n">
        <v>1687.75</v>
      </c>
      <c r="D5" s="12" t="n">
        <v>0.9201</v>
      </c>
      <c r="E5" s="12" t="n">
        <v>0.9123</v>
      </c>
    </row>
  </sheetData>
  <mergeCells count="1">
    <mergeCell ref="A1:E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14.01"/>
    <col collapsed="false" customWidth="true" hidden="false" outlineLevel="0" max="5" min="2" style="0" width="18"/>
  </cols>
  <sheetData>
    <row r="1" customFormat="false" ht="27.75" hidden="false" customHeight="true" outlineLevel="0" collapsed="false">
      <c r="A1" s="10" t="s">
        <v>31</v>
      </c>
      <c r="B1" s="10"/>
      <c r="C1" s="10"/>
      <c r="D1" s="10"/>
      <c r="E1" s="10"/>
    </row>
    <row r="2" customFormat="false" ht="24.75" hidden="false" customHeight="true" outlineLevel="0" collapsed="false">
      <c r="A2" s="3" t="s">
        <v>32</v>
      </c>
      <c r="B2" s="3" t="s">
        <v>33</v>
      </c>
      <c r="C2" s="3" t="s">
        <v>34</v>
      </c>
      <c r="D2" s="3" t="s">
        <v>35</v>
      </c>
      <c r="E2" s="3" t="s">
        <v>36</v>
      </c>
    </row>
    <row r="3" customFormat="false" ht="15" hidden="false" customHeight="false" outlineLevel="0" collapsed="false">
      <c r="A3" s="5" t="s">
        <v>37</v>
      </c>
      <c r="B3" s="8" t="n">
        <v>457.76</v>
      </c>
      <c r="C3" s="8" t="n">
        <v>506.01</v>
      </c>
      <c r="D3" s="8" t="n">
        <v>240.65</v>
      </c>
      <c r="E3" s="8" t="n">
        <v>268.47</v>
      </c>
    </row>
    <row r="4" customFormat="false" ht="15" hidden="false" customHeight="false" outlineLevel="0" collapsed="false">
      <c r="A4" s="5" t="s">
        <v>38</v>
      </c>
      <c r="B4" s="8" t="n">
        <v>361.55</v>
      </c>
      <c r="C4" s="8" t="n">
        <v>387.88</v>
      </c>
      <c r="D4" s="8" t="n">
        <v>176.3</v>
      </c>
      <c r="E4" s="8" t="n">
        <v>185.55</v>
      </c>
    </row>
    <row r="5" customFormat="false" ht="15" hidden="false" customHeight="false" outlineLevel="0" collapsed="false">
      <c r="A5" s="5" t="s">
        <v>39</v>
      </c>
      <c r="B5" s="8" t="n">
        <v>388.45</v>
      </c>
      <c r="C5" s="8" t="n">
        <v>390.64</v>
      </c>
      <c r="D5" s="8" t="n">
        <v>191.32</v>
      </c>
      <c r="E5" s="8" t="n">
        <v>192.24</v>
      </c>
    </row>
    <row r="6" customFormat="false" ht="15" hidden="false" customHeight="false" outlineLevel="0" collapsed="false">
      <c r="A6" s="5" t="s">
        <v>40</v>
      </c>
      <c r="B6" s="8" t="n">
        <v>501.23</v>
      </c>
      <c r="C6" s="8" t="n">
        <v>403.84</v>
      </c>
      <c r="D6" s="8" t="n">
        <v>254.01</v>
      </c>
      <c r="E6" s="8" t="n">
        <v>176.93</v>
      </c>
    </row>
    <row r="7" customFormat="false" ht="15" hidden="false" customHeight="false" outlineLevel="0" collapsed="false">
      <c r="A7" s="4" t="s">
        <v>41</v>
      </c>
      <c r="B7" s="11" t="n">
        <v>1708.99</v>
      </c>
      <c r="C7" s="11" t="n">
        <v>1688.38</v>
      </c>
      <c r="D7" s="11" t="n">
        <v>862.28</v>
      </c>
      <c r="E7" s="11" t="n">
        <v>823.2</v>
      </c>
    </row>
  </sheetData>
  <mergeCells count="1">
    <mergeCell ref="A1:E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37.99"/>
    <col collapsed="false" customWidth="true" hidden="false" outlineLevel="0" max="5" min="2" style="0" width="18"/>
  </cols>
  <sheetData>
    <row r="1" customFormat="false" ht="27.75" hidden="false" customHeight="true" outlineLevel="0" collapsed="false">
      <c r="A1" s="10" t="s">
        <v>42</v>
      </c>
      <c r="B1" s="10"/>
      <c r="C1" s="10"/>
      <c r="D1" s="10"/>
      <c r="E1" s="10"/>
    </row>
    <row r="2" customFormat="false" ht="24.75" hidden="false" customHeight="true" outlineLevel="0" collapsed="false">
      <c r="A2" s="3" t="s">
        <v>43</v>
      </c>
      <c r="B2" s="3" t="s">
        <v>44</v>
      </c>
      <c r="C2" s="3" t="s">
        <v>45</v>
      </c>
      <c r="D2" s="3" t="s">
        <v>46</v>
      </c>
      <c r="E2" s="3" t="s">
        <v>6</v>
      </c>
    </row>
    <row r="3" customFormat="false" ht="15" hidden="false" customHeight="false" outlineLevel="0" collapsed="false">
      <c r="A3" s="5" t="s">
        <v>47</v>
      </c>
      <c r="B3" s="8" t="n">
        <v>592.96</v>
      </c>
      <c r="C3" s="8" t="n">
        <v>516.91</v>
      </c>
      <c r="D3" s="8" t="n">
        <f aca="false">C3-B3</f>
        <v>-76.0500000000001</v>
      </c>
      <c r="E3" s="9" t="n">
        <f aca="false">IF(B3=0,"-",(C3-B3)/ABS(B3))</f>
        <v>-0.128254856988667</v>
      </c>
    </row>
    <row r="4" customFormat="false" ht="15" hidden="false" customHeight="false" outlineLevel="0" collapsed="false">
      <c r="A4" s="5" t="s">
        <v>48</v>
      </c>
      <c r="B4" s="8" t="n">
        <v>0.19</v>
      </c>
      <c r="C4" s="8" t="n">
        <v>0.03</v>
      </c>
      <c r="D4" s="8" t="n">
        <f aca="false">C4-B4</f>
        <v>-0.16</v>
      </c>
      <c r="E4" s="9" t="n">
        <f aca="false">IF(B4=0,"-",(C4-B4)/ABS(B4))</f>
        <v>-0.842105263157895</v>
      </c>
    </row>
    <row r="5" customFormat="false" ht="15" hidden="false" customHeight="false" outlineLevel="0" collapsed="false">
      <c r="A5" s="5" t="s">
        <v>49</v>
      </c>
      <c r="B5" s="8" t="n">
        <v>543.43</v>
      </c>
      <c r="C5" s="8" t="n">
        <v>614.27</v>
      </c>
      <c r="D5" s="8" t="n">
        <f aca="false">C5-B5</f>
        <v>70.84</v>
      </c>
      <c r="E5" s="9" t="n">
        <f aca="false">IF(B5=0,"-",(C5-B5)/ABS(B5))</f>
        <v>0.130357175717204</v>
      </c>
    </row>
    <row r="6" customFormat="false" ht="15" hidden="false" customHeight="false" outlineLevel="0" collapsed="false">
      <c r="A6" s="5" t="s">
        <v>50</v>
      </c>
      <c r="B6" s="8" t="n">
        <v>218.71</v>
      </c>
      <c r="C6" s="8" t="n">
        <v>224.88</v>
      </c>
      <c r="D6" s="8" t="n">
        <f aca="false">C6-B6</f>
        <v>6.16999999999999</v>
      </c>
      <c r="E6" s="9" t="n">
        <f aca="false">IF(B6=0,"-",(C6-B6)/ABS(B6))</f>
        <v>0.0282108728453202</v>
      </c>
    </row>
    <row r="7" customFormat="false" ht="15" hidden="false" customHeight="false" outlineLevel="0" collapsed="false">
      <c r="A7" s="5" t="s">
        <v>51</v>
      </c>
      <c r="B7" s="8" t="n">
        <v>0</v>
      </c>
      <c r="C7" s="8" t="n">
        <v>0</v>
      </c>
      <c r="D7" s="8" t="n">
        <f aca="false">C7-B7</f>
        <v>0</v>
      </c>
      <c r="E7" s="9" t="str">
        <f aca="false">IF(B7=0,"-",(C7-B7)/ABS(B7))</f>
        <v>-</v>
      </c>
    </row>
    <row r="8" customFormat="false" ht="15" hidden="false" customHeight="false" outlineLevel="0" collapsed="false">
      <c r="A8" s="5" t="s">
        <v>52</v>
      </c>
      <c r="B8" s="8" t="n">
        <v>0</v>
      </c>
      <c r="C8" s="8" t="n">
        <v>0</v>
      </c>
      <c r="D8" s="8" t="n">
        <f aca="false">C8-B8</f>
        <v>0</v>
      </c>
      <c r="E8" s="9" t="str">
        <f aca="false">IF(B8=0,"-",(C8-B8)/ABS(B8))</f>
        <v>-</v>
      </c>
    </row>
    <row r="9" customFormat="false" ht="15" hidden="false" customHeight="false" outlineLevel="0" collapsed="false">
      <c r="A9" s="5" t="s">
        <v>53</v>
      </c>
      <c r="B9" s="8" t="n">
        <v>1271.87</v>
      </c>
      <c r="C9" s="8" t="n">
        <v>990.96</v>
      </c>
      <c r="D9" s="8" t="n">
        <f aca="false">C9-B9</f>
        <v>-280.91</v>
      </c>
      <c r="E9" s="9" t="n">
        <f aca="false">IF(B9=0,"-",(C9-B9)/ABS(B9))</f>
        <v>-0.22086376752341</v>
      </c>
    </row>
    <row r="11" customFormat="false" ht="15" hidden="false" customHeight="false" outlineLevel="0" collapsed="false">
      <c r="A11" s="13" t="s">
        <v>54</v>
      </c>
    </row>
    <row r="12" customFormat="false" ht="15" hidden="false" customHeight="false" outlineLevel="0" collapsed="false">
      <c r="A12" s="14" t="s">
        <v>55</v>
      </c>
      <c r="B12" s="15" t="n">
        <v>3038.35</v>
      </c>
      <c r="C12" s="15" t="n">
        <f aca="false">498.76+2539.59</f>
        <v>3038.35</v>
      </c>
      <c r="D12" s="14" t="str">
        <f aca="false">IF(ABS(B12-C12)&lt;0.5,"校验通过","校验失败")</f>
        <v>校验通过</v>
      </c>
    </row>
    <row r="13" customFormat="false" ht="15" hidden="false" customHeight="false" outlineLevel="0" collapsed="false">
      <c r="A13" s="14" t="s">
        <v>56</v>
      </c>
      <c r="B13" s="15" t="n">
        <v>1688.38</v>
      </c>
      <c r="C13" s="15" t="n">
        <f aca="false">1464.99+222.75</f>
        <v>1687.74</v>
      </c>
      <c r="D13" s="14" t="str">
        <f aca="false">IF(ABS(B13-C13)&lt;1,"校验通过","校验失败")</f>
        <v>校验通过</v>
      </c>
    </row>
  </sheetData>
  <mergeCells count="1">
    <mergeCell ref="A1:E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26"/>
    <col collapsed="false" customWidth="true" hidden="false" outlineLevel="0" max="2" min="2" style="0" width="95"/>
  </cols>
  <sheetData>
    <row r="1" customFormat="false" ht="27.75" hidden="false" customHeight="true" outlineLevel="0" collapsed="false">
      <c r="A1" s="10" t="s">
        <v>57</v>
      </c>
      <c r="B1" s="10"/>
    </row>
    <row r="2" customFormat="false" ht="15" hidden="false" customHeight="false" outlineLevel="0" collapsed="false">
      <c r="A2" s="3" t="s">
        <v>58</v>
      </c>
      <c r="B2" s="3" t="s">
        <v>59</v>
      </c>
    </row>
    <row r="3" customFormat="false" ht="49.5" hidden="false" customHeight="true" outlineLevel="0" collapsed="false">
      <c r="A3" s="16" t="s">
        <v>60</v>
      </c>
      <c r="B3" s="16" t="s">
        <v>61</v>
      </c>
    </row>
    <row r="4" customFormat="false" ht="49.5" hidden="false" customHeight="true" outlineLevel="0" collapsed="false">
      <c r="A4" s="16" t="s">
        <v>62</v>
      </c>
      <c r="B4" s="16" t="s">
        <v>63</v>
      </c>
    </row>
    <row r="5" customFormat="false" ht="49.5" hidden="false" customHeight="true" outlineLevel="0" collapsed="false">
      <c r="A5" s="16" t="s">
        <v>64</v>
      </c>
      <c r="B5" s="16" t="s">
        <v>65</v>
      </c>
    </row>
    <row r="6" customFormat="false" ht="49.5" hidden="false" customHeight="true" outlineLevel="0" collapsed="false">
      <c r="A6" s="16" t="s">
        <v>66</v>
      </c>
      <c r="B6" s="16" t="s">
        <v>67</v>
      </c>
    </row>
    <row r="7" customFormat="false" ht="49.5" hidden="false" customHeight="true" outlineLevel="0" collapsed="false">
      <c r="A7" s="16" t="s">
        <v>68</v>
      </c>
      <c r="B7" s="16" t="s">
        <v>69</v>
      </c>
    </row>
    <row r="8" customFormat="false" ht="49.5" hidden="false" customHeight="true" outlineLevel="0" collapsed="false">
      <c r="A8" s="16" t="s">
        <v>70</v>
      </c>
      <c r="B8" s="16" t="s">
        <v>71</v>
      </c>
    </row>
    <row r="9" customFormat="false" ht="49.5" hidden="false" customHeight="true" outlineLevel="0" collapsed="false">
      <c r="A9" s="16" t="s">
        <v>72</v>
      </c>
      <c r="B9" s="16" t="s">
        <v>73</v>
      </c>
    </row>
    <row r="10" customFormat="false" ht="49.5" hidden="false" customHeight="true" outlineLevel="0" collapsed="false">
      <c r="A10" s="16" t="s">
        <v>74</v>
      </c>
      <c r="B10" s="16" t="s">
        <v>75</v>
      </c>
    </row>
    <row r="11" customFormat="false" ht="49.5" hidden="false" customHeight="true" outlineLevel="0" collapsed="false">
      <c r="A11" s="16" t="s">
        <v>76</v>
      </c>
      <c r="B11" s="16" t="s">
        <v>77</v>
      </c>
    </row>
  </sheetData>
  <mergeCells count="1">
    <mergeCell ref="A1:B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2026-08-17T07:09:37Z</dcterms:created>
  <dc:creator>openpyxl</dc:creator>
  <dc:description/>
  <dc:language>en-US</dc:language>
  <cp:lastModifiedBy/>
  <dcterms:modified xsi:type="dcterms:W3CDTF">2026-08-17T07:09:37Z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