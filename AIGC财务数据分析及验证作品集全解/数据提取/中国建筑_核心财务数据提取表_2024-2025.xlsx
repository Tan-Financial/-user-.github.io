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核心财务数据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<sst xmlns="http://schemas.openxmlformats.org/spreadsheetml/2006/main" count="97" uniqueCount="74">
  <si>
    <r>
      <rPr>
        <b val="true"/>
        <sz val="14"/>
        <color rgb="FFFFFFFF"/>
        <rFont val="Noto Sans CJK SC"/>
        <family val="2"/>
      </rPr>
      <t xml:space="preserve">中国建筑 核心财务数据提取表（</t>
    </r>
    <r>
      <rPr>
        <b val="true"/>
        <sz val="14"/>
        <color rgb="FFFFFFFF"/>
        <rFont val="Calibri"/>
        <family val="0"/>
        <charset val="1"/>
      </rPr>
      <t xml:space="preserve">2024-2025</t>
    </r>
    <r>
      <rPr>
        <b val="true"/>
        <sz val="14"/>
        <color rgb="FFFFFFFF"/>
        <rFont val="Noto Sans CJK SC"/>
        <family val="2"/>
      </rPr>
      <t xml:space="preserve">）</t>
    </r>
  </si>
  <si>
    <t xml:space="preserve">一、核心经营业绩</t>
  </si>
  <si>
    <t xml:space="preserve">指标</t>
  </si>
  <si>
    <r>
      <rPr>
        <b val="true"/>
        <sz val="10"/>
        <color rgb="FF000000"/>
        <rFont val="Calibri"/>
        <family val="0"/>
        <charset val="1"/>
      </rPr>
      <t xml:space="preserve">2024</t>
    </r>
    <r>
      <rPr>
        <b val="true"/>
        <sz val="10"/>
        <color rgb="FF000000"/>
        <rFont val="Noto Sans CJK SC"/>
        <family val="2"/>
      </rPr>
      <t xml:space="preserve">年（经重述）</t>
    </r>
  </si>
  <si>
    <r>
      <rPr>
        <b val="true"/>
        <sz val="10"/>
        <color rgb="FF000000"/>
        <rFont val="Calibri"/>
        <family val="0"/>
        <charset val="1"/>
      </rPr>
      <t xml:space="preserve">2025</t>
    </r>
    <r>
      <rPr>
        <b val="true"/>
        <sz val="10"/>
        <color rgb="FF000000"/>
        <rFont val="Noto Sans CJK SC"/>
        <family val="2"/>
      </rPr>
      <t xml:space="preserve">年</t>
    </r>
  </si>
  <si>
    <t xml:space="preserve">变动额</t>
  </si>
  <si>
    <r>
      <rPr>
        <b val="true"/>
        <sz val="10"/>
        <color rgb="FF000000"/>
        <rFont val="Noto Sans CJK SC"/>
        <family val="2"/>
      </rPr>
      <t xml:space="preserve">变动</t>
    </r>
    <r>
      <rPr>
        <b val="true"/>
        <sz val="10"/>
        <color rgb="FF000000"/>
        <rFont val="Calibri"/>
        <family val="0"/>
        <charset val="1"/>
      </rPr>
      <t xml:space="preserve">%</t>
    </r>
  </si>
  <si>
    <r>
      <rPr>
        <b val="true"/>
        <sz val="10"/>
        <color rgb="FF000000"/>
        <rFont val="Noto Sans CJK SC"/>
        <family val="2"/>
      </rPr>
      <t xml:space="preserve">数据来源</t>
    </r>
    <r>
      <rPr>
        <b val="true"/>
        <sz val="10"/>
        <color rgb="FF000000"/>
        <rFont val="Calibri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页码</t>
    </r>
  </si>
  <si>
    <t xml:space="preserve">营业收入（亿元）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</si>
  <si>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P13</t>
    </r>
    <r>
      <rPr>
        <i val="true"/>
        <sz val="10"/>
        <color rgb="FF808080"/>
        <rFont val="Noto Sans CJK SC"/>
        <family val="2"/>
      </rPr>
      <t xml:space="preserve">（主要会计数据）</t>
    </r>
  </si>
  <si>
    <t xml:space="preserve">营业成本（亿元）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</si>
  <si>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P33</t>
    </r>
    <r>
      <rPr>
        <i val="true"/>
        <sz val="10"/>
        <color rgb="FF808080"/>
        <rFont val="Noto Sans CJK SC"/>
        <family val="2"/>
      </rPr>
      <t xml:space="preserve">（主营业务分行业）</t>
    </r>
  </si>
  <si>
    <t xml:space="preserve">归母净利润（亿元）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</si>
  <si>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P13</t>
    </r>
  </si>
  <si>
    <t xml:space="preserve">归母净利润率</t>
  </si>
  <si>
    <t xml:space="preserve">-</t>
  </si>
  <si>
    <t xml:space="preserve">计算</t>
  </si>
  <si>
    <r>
      <rPr>
        <sz val="10"/>
        <color rgb="FF000000"/>
        <rFont val="Noto Sans CJK SC"/>
        <family val="2"/>
      </rPr>
      <t xml:space="preserve">加权平均</t>
    </r>
    <r>
      <rPr>
        <sz val="10"/>
        <color rgb="FF000000"/>
        <rFont val="Calibri"/>
        <family val="0"/>
        <charset val="1"/>
      </rPr>
      <t xml:space="preserve">ROE</t>
    </r>
  </si>
  <si>
    <t xml:space="preserve">经营活动现金流净额（亿元，含税）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</si>
  <si>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P13, P33</t>
    </r>
  </si>
  <si>
    <t xml:space="preserve">分季度归母净利润（亿元）</t>
  </si>
  <si>
    <t xml:space="preserve">Q1:149.22, Q2:145.28, Q3:102.53, Q4:64.84</t>
  </si>
  <si>
    <t xml:space="preserve">Q1:150.13, Q2:153.91, Q3:77.78, Q4:8.87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</si>
  <si>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P14</t>
    </r>
    <r>
      <rPr>
        <i val="true"/>
        <sz val="10"/>
        <color rgb="FF808080"/>
        <rFont val="Noto Sans CJK SC"/>
        <family val="2"/>
      </rPr>
      <t xml:space="preserve">（</t>
    </r>
    <r>
      <rPr>
        <i val="true"/>
        <sz val="10"/>
        <color rgb="FF808080"/>
        <rFont val="Calibri"/>
        <family val="0"/>
        <charset val="1"/>
      </rPr>
      <t xml:space="preserve">2024</t>
    </r>
    <r>
      <rPr>
        <i val="true"/>
        <sz val="10"/>
        <color rgb="FF808080"/>
        <rFont val="Noto Sans CJK SC"/>
        <family val="2"/>
      </rPr>
      <t xml:space="preserve">年分季度数据在</t>
    </r>
    <r>
      <rPr>
        <i val="true"/>
        <sz val="10"/>
        <color rgb="FF808080"/>
        <rFont val="Calibri"/>
        <family val="0"/>
        <charset val="1"/>
      </rPr>
      <t xml:space="preserve">2024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P14</t>
    </r>
    <r>
      <rPr>
        <i val="true"/>
        <sz val="10"/>
        <color rgb="FF808080"/>
        <rFont val="Noto Sans CJK SC"/>
        <family val="2"/>
      </rPr>
      <t xml:space="preserve">）</t>
    </r>
  </si>
  <si>
    <t xml:space="preserve">二、资产与负债状况</t>
  </si>
  <si>
    <t xml:space="preserve">总资产（亿元）</t>
  </si>
  <si>
    <t xml:space="preserve">归母净资产（亿元）</t>
  </si>
  <si>
    <t xml:space="preserve">资产负债率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</si>
  <si>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P171</t>
    </r>
    <r>
      <rPr>
        <i val="true"/>
        <sz val="10"/>
        <color rgb="FF808080"/>
        <rFont val="Noto Sans CJK SC"/>
        <family val="2"/>
      </rPr>
      <t xml:space="preserve">（附注十、</t>
    </r>
    <r>
      <rPr>
        <i val="true"/>
        <sz val="10"/>
        <color rgb="FF808080"/>
        <rFont val="Calibri"/>
        <family val="0"/>
        <charset val="1"/>
      </rPr>
      <t xml:space="preserve">2</t>
    </r>
    <r>
      <rPr>
        <i val="true"/>
        <sz val="10"/>
        <color rgb="FF808080"/>
        <rFont val="Noto Sans CJK SC"/>
        <family val="2"/>
      </rPr>
      <t xml:space="preserve">）</t>
    </r>
  </si>
  <si>
    <t xml:space="preserve">有息负债总额（亿元）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</si>
  <si>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P47</t>
    </r>
    <r>
      <rPr>
        <i val="true"/>
        <sz val="10"/>
        <color rgb="FF808080"/>
        <rFont val="Noto Sans CJK SC"/>
        <family val="2"/>
      </rPr>
      <t xml:space="preserve">（融资情况）</t>
    </r>
  </si>
  <si>
    <t xml:space="preserve">三、辅助财务数据（合并报表年末余额，单位：亿元）</t>
  </si>
  <si>
    <t xml:space="preserve">项目</t>
  </si>
  <si>
    <r>
      <rPr>
        <b val="true"/>
        <sz val="10"/>
        <color rgb="FF000000"/>
        <rFont val="Calibri"/>
        <family val="0"/>
        <charset val="1"/>
      </rPr>
      <t xml:space="preserve">2024</t>
    </r>
    <r>
      <rPr>
        <b val="true"/>
        <sz val="10"/>
        <color rgb="FF000000"/>
        <rFont val="Noto Sans CJK SC"/>
        <family val="2"/>
      </rPr>
      <t xml:space="preserve">年末</t>
    </r>
  </si>
  <si>
    <r>
      <rPr>
        <b val="true"/>
        <sz val="10"/>
        <color rgb="FF000000"/>
        <rFont val="Calibri"/>
        <family val="0"/>
        <charset val="1"/>
      </rPr>
      <t xml:space="preserve">2025</t>
    </r>
    <r>
      <rPr>
        <b val="true"/>
        <sz val="10"/>
        <color rgb="FF000000"/>
        <rFont val="Noto Sans CJK SC"/>
        <family val="2"/>
      </rPr>
      <t xml:space="preserve">年末</t>
    </r>
  </si>
  <si>
    <t xml:space="preserve">数据来源（附注）</t>
  </si>
  <si>
    <t xml:space="preserve">货币资金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</si>
  <si>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P71</t>
    </r>
    <r>
      <rPr>
        <i val="true"/>
        <sz val="10"/>
        <color rgb="FF808080"/>
        <rFont val="Noto Sans CJK SC"/>
        <family val="2"/>
      </rPr>
      <t xml:space="preserve">（附注五、</t>
    </r>
    <r>
      <rPr>
        <i val="true"/>
        <sz val="10"/>
        <color rgb="FF808080"/>
        <rFont val="Calibri"/>
        <family val="0"/>
        <charset val="1"/>
      </rPr>
      <t xml:space="preserve">1</t>
    </r>
    <r>
      <rPr>
        <i val="true"/>
        <sz val="10"/>
        <color rgb="FF808080"/>
        <rFont val="Noto Sans CJK SC"/>
        <family val="2"/>
      </rPr>
      <t xml:space="preserve">）</t>
    </r>
  </si>
  <si>
    <t xml:space="preserve">应收账款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</si>
  <si>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P73</t>
    </r>
    <r>
      <rPr>
        <i val="true"/>
        <sz val="10"/>
        <color rgb="FF808080"/>
        <rFont val="Noto Sans CJK SC"/>
        <family val="2"/>
      </rPr>
      <t xml:space="preserve">（附注五、</t>
    </r>
    <r>
      <rPr>
        <i val="true"/>
        <sz val="10"/>
        <color rgb="FF808080"/>
        <rFont val="Calibri"/>
        <family val="0"/>
        <charset val="1"/>
      </rPr>
      <t xml:space="preserve">4</t>
    </r>
    <r>
      <rPr>
        <i val="true"/>
        <sz val="10"/>
        <color rgb="FF808080"/>
        <rFont val="Noto Sans CJK SC"/>
        <family val="2"/>
      </rPr>
      <t xml:space="preserve">）</t>
    </r>
  </si>
  <si>
    <t xml:space="preserve">存货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</si>
  <si>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P82</t>
    </r>
    <r>
      <rPr>
        <i val="true"/>
        <sz val="10"/>
        <color rgb="FF808080"/>
        <rFont val="Noto Sans CJK SC"/>
        <family val="2"/>
      </rPr>
      <t xml:space="preserve">（附注五、</t>
    </r>
    <r>
      <rPr>
        <i val="true"/>
        <sz val="10"/>
        <color rgb="FF808080"/>
        <rFont val="Calibri"/>
        <family val="0"/>
        <charset val="1"/>
      </rPr>
      <t xml:space="preserve">8</t>
    </r>
    <r>
      <rPr>
        <i val="true"/>
        <sz val="10"/>
        <color rgb="FF808080"/>
        <rFont val="Noto Sans CJK SC"/>
        <family val="2"/>
      </rPr>
      <t xml:space="preserve">）</t>
    </r>
  </si>
  <si>
    <t xml:space="preserve">固定资产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</si>
  <si>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P101</t>
    </r>
    <r>
      <rPr>
        <i val="true"/>
        <sz val="10"/>
        <color rgb="FF808080"/>
        <rFont val="Noto Sans CJK SC"/>
        <family val="2"/>
      </rPr>
      <t xml:space="preserve">（附注五、</t>
    </r>
    <r>
      <rPr>
        <i val="true"/>
        <sz val="10"/>
        <color rgb="FF808080"/>
        <rFont val="Calibri"/>
        <family val="0"/>
        <charset val="1"/>
      </rPr>
      <t xml:space="preserve">18</t>
    </r>
    <r>
      <rPr>
        <i val="true"/>
        <sz val="10"/>
        <color rgb="FF808080"/>
        <rFont val="Noto Sans CJK SC"/>
        <family val="2"/>
      </rPr>
      <t xml:space="preserve">）</t>
    </r>
  </si>
  <si>
    <t xml:space="preserve">短期借款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</si>
  <si>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P112</t>
    </r>
    <r>
      <rPr>
        <i val="true"/>
        <sz val="10"/>
        <color rgb="FF808080"/>
        <rFont val="Noto Sans CJK SC"/>
        <family val="2"/>
      </rPr>
      <t xml:space="preserve">（附注五、</t>
    </r>
    <r>
      <rPr>
        <i val="true"/>
        <sz val="10"/>
        <color rgb="FF808080"/>
        <rFont val="Calibri"/>
        <family val="0"/>
        <charset val="1"/>
      </rPr>
      <t xml:space="preserve">28</t>
    </r>
    <r>
      <rPr>
        <i val="true"/>
        <sz val="10"/>
        <color rgb="FF808080"/>
        <rFont val="Noto Sans CJK SC"/>
        <family val="2"/>
      </rPr>
      <t xml:space="preserve">）</t>
    </r>
  </si>
  <si>
    <t xml:space="preserve">长期借款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</si>
  <si>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P122</t>
    </r>
    <r>
      <rPr>
        <i val="true"/>
        <sz val="10"/>
        <color rgb="FF808080"/>
        <rFont val="Noto Sans CJK SC"/>
        <family val="2"/>
      </rPr>
      <t xml:space="preserve">（附注五、</t>
    </r>
    <r>
      <rPr>
        <i val="true"/>
        <sz val="10"/>
        <color rgb="FF808080"/>
        <rFont val="Calibri"/>
        <family val="0"/>
        <charset val="1"/>
      </rPr>
      <t xml:space="preserve">38</t>
    </r>
    <r>
      <rPr>
        <i val="true"/>
        <sz val="10"/>
        <color rgb="FF808080"/>
        <rFont val="Noto Sans CJK SC"/>
        <family val="2"/>
      </rPr>
      <t xml:space="preserve">）</t>
    </r>
  </si>
  <si>
    <t xml:space="preserve">应付债券（含一年内到期）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</si>
  <si>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P123</t>
    </r>
    <r>
      <rPr>
        <i val="true"/>
        <sz val="10"/>
        <color rgb="FF808080"/>
        <rFont val="Noto Sans CJK SC"/>
        <family val="2"/>
      </rPr>
      <t xml:space="preserve">（附注五、</t>
    </r>
    <r>
      <rPr>
        <i val="true"/>
        <sz val="10"/>
        <color rgb="FF808080"/>
        <rFont val="Calibri"/>
        <family val="0"/>
        <charset val="1"/>
      </rPr>
      <t xml:space="preserve">39</t>
    </r>
    <r>
      <rPr>
        <i val="true"/>
        <sz val="10"/>
        <color rgb="FF808080"/>
        <rFont val="Noto Sans CJK SC"/>
        <family val="2"/>
      </rPr>
      <t xml:space="preserve">）</t>
    </r>
  </si>
  <si>
    <t xml:space="preserve">四、其他关键指标</t>
  </si>
  <si>
    <r>
      <rPr>
        <b val="true"/>
        <sz val="10"/>
        <color rgb="FF000000"/>
        <rFont val="Calibri"/>
        <family val="0"/>
        <charset val="1"/>
      </rPr>
      <t xml:space="preserve">2024</t>
    </r>
    <r>
      <rPr>
        <b val="true"/>
        <sz val="10"/>
        <color rgb="FF000000"/>
        <rFont val="Noto Sans CJK SC"/>
        <family val="2"/>
      </rPr>
      <t xml:space="preserve">年</t>
    </r>
  </si>
  <si>
    <t xml:space="preserve">变动</t>
  </si>
  <si>
    <t xml:space="preserve">数据来源</t>
  </si>
  <si>
    <t xml:space="preserve">研发费用占营收比重</t>
  </si>
  <si>
    <t xml:space="preserve">持平</t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</si>
  <si>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P44</t>
    </r>
    <r>
      <rPr>
        <i val="true"/>
        <sz val="10"/>
        <color rgb="FF808080"/>
        <rFont val="Noto Sans CJK SC"/>
        <family val="2"/>
      </rPr>
      <t xml:space="preserve">（研发投入情况）</t>
    </r>
  </si>
  <si>
    <t xml:space="preserve">应收账款周转天数</t>
  </si>
  <si>
    <t xml:space="preserve">未披露</t>
  </si>
  <si>
    <t xml:space="preserve">年报未直接提供，需自行计算</t>
  </si>
  <si>
    <t xml:space="preserve">存货周转天数</t>
  </si>
  <si>
    <t xml:space="preserve">新签合同额（亿元）</t>
  </si>
  <si>
    <r>
      <rPr>
        <sz val="10"/>
        <color rgb="FF000000"/>
        <rFont val="Calibri"/>
        <family val="0"/>
        <charset val="1"/>
      </rPr>
      <t xml:space="preserve">+431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libri"/>
        <family val="0"/>
        <charset val="1"/>
      </rPr>
      <t xml:space="preserve">+1.0%</t>
    </r>
    <r>
      <rPr>
        <sz val="10"/>
        <color rgb="FF000000"/>
        <rFont val="Noto Sans CJK SC"/>
        <family val="2"/>
      </rPr>
      <t xml:space="preserve">）</t>
    </r>
  </si>
  <si>
    <r>
      <rPr>
        <i val="true"/>
        <sz val="10"/>
        <color rgb="FF808080"/>
        <rFont val="Calibri"/>
        <family val="0"/>
        <charset val="1"/>
      </rPr>
      <t xml:space="preserve">2025</t>
    </r>
    <r>
      <rPr>
        <i val="true"/>
        <sz val="10"/>
        <color rgb="FF808080"/>
        <rFont val="Noto Sans CJK SC"/>
        <family val="2"/>
      </rPr>
      <t xml:space="preserve">年报</t>
    </r>
    <r>
      <rPr>
        <i val="true"/>
        <sz val="10"/>
        <color rgb="FF808080"/>
        <rFont val="Calibri"/>
        <family val="0"/>
        <charset val="1"/>
      </rPr>
      <t xml:space="preserve">P8</t>
    </r>
    <r>
      <rPr>
        <i val="true"/>
        <sz val="10"/>
        <color rgb="FF808080"/>
        <rFont val="Noto Sans CJK SC"/>
        <family val="2"/>
      </rPr>
      <t xml:space="preserve">（年报速览）</t>
    </r>
  </si>
  <si>
    <t xml:space="preserve">异常发现标注</t>
  </si>
  <si>
    <r>
      <rPr>
        <sz val="10"/>
        <color rgb="FF000000"/>
        <rFont val="Calibri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归母净利润连续下滑：</t>
    </r>
    <r>
      <rPr>
        <sz val="10"/>
        <color rgb="FF000000"/>
        <rFont val="Calibri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年同比下降</t>
    </r>
    <r>
      <rPr>
        <sz val="10"/>
        <color rgb="FF000000"/>
        <rFont val="Calibri"/>
        <family val="0"/>
        <charset val="1"/>
      </rPr>
      <t xml:space="preserve">14.9%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libri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年同比下降</t>
    </r>
    <r>
      <rPr>
        <sz val="10"/>
        <color rgb="FF000000"/>
        <rFont val="Calibri"/>
        <family val="0"/>
        <charset val="1"/>
      </rPr>
      <t xml:space="preserve">15.4%</t>
    </r>
    <r>
      <rPr>
        <sz val="10"/>
        <color rgb="FF000000"/>
        <rFont val="Noto Sans CJK SC"/>
        <family val="2"/>
      </rPr>
      <t xml:space="preserve">，降幅扩大；</t>
    </r>
    <r>
      <rPr>
        <sz val="10"/>
        <color rgb="FF000000"/>
        <rFont val="Calibri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Calibri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单季净利润仅</t>
    </r>
    <r>
      <rPr>
        <sz val="10"/>
        <color rgb="FF000000"/>
        <rFont val="Calibri"/>
        <family val="0"/>
        <charset val="1"/>
      </rPr>
      <t xml:space="preserve">8.87</t>
    </r>
    <r>
      <rPr>
        <sz val="10"/>
        <color rgb="FF000000"/>
        <rFont val="Noto Sans CJK SC"/>
        <family val="2"/>
      </rPr>
      <t xml:space="preserve">亿元（</t>
    </r>
    <r>
      <rPr>
        <sz val="10"/>
        <color rgb="FF000000"/>
        <rFont val="Calibri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Calibri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Calibri"/>
        <family val="0"/>
        <charset val="1"/>
      </rPr>
      <t xml:space="preserve">64.84</t>
    </r>
    <r>
      <rPr>
        <sz val="10"/>
        <color rgb="FF000000"/>
        <rFont val="Noto Sans CJK SC"/>
        <family val="2"/>
      </rPr>
      <t xml:space="preserve">亿元），需重点关注年末费用计提或资产减值影响。</t>
    </r>
  </si>
  <si>
    <r>
      <rPr>
        <sz val="10"/>
        <color rgb="FF000000"/>
        <rFont val="Calibri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资产负债率持续攀升：从</t>
    </r>
    <r>
      <rPr>
        <sz val="10"/>
        <color rgb="FF000000"/>
        <rFont val="Calibri"/>
        <family val="0"/>
        <charset val="1"/>
      </rPr>
      <t xml:space="preserve">74.8%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libri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）→</t>
    </r>
    <r>
      <rPr>
        <sz val="10"/>
        <color rgb="FF000000"/>
        <rFont val="Calibri"/>
        <family val="0"/>
        <charset val="1"/>
      </rPr>
      <t xml:space="preserve">75.8%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libri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）→</t>
    </r>
    <r>
      <rPr>
        <sz val="10"/>
        <color rgb="FF000000"/>
        <rFont val="Calibri"/>
        <family val="0"/>
        <charset val="1"/>
      </rPr>
      <t xml:space="preserve">76.9%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libri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），有息负债同步增长，财务杠杆加大。</t>
    </r>
  </si>
  <si>
    <r>
      <rPr>
        <sz val="10"/>
        <color rgb="FF000000"/>
        <rFont val="Calibri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应收账款激增：</t>
    </r>
    <r>
      <rPr>
        <sz val="10"/>
        <color rgb="FF000000"/>
        <rFont val="Calibri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年末应收账款较年初增加</t>
    </r>
    <r>
      <rPr>
        <sz val="10"/>
        <color rgb="FF000000"/>
        <rFont val="Calibri"/>
        <family val="0"/>
        <charset val="1"/>
      </rPr>
      <t xml:space="preserve">984</t>
    </r>
    <r>
      <rPr>
        <sz val="10"/>
        <color rgb="FF000000"/>
        <rFont val="Noto Sans CJK SC"/>
        <family val="2"/>
      </rPr>
      <t xml:space="preserve">亿元（</t>
    </r>
    <r>
      <rPr>
        <sz val="10"/>
        <color rgb="FF000000"/>
        <rFont val="Calibri"/>
        <family val="0"/>
        <charset val="1"/>
      </rPr>
      <t xml:space="preserve">+31%</t>
    </r>
    <r>
      <rPr>
        <sz val="10"/>
        <color rgb="FF000000"/>
        <rFont val="Noto Sans CJK SC"/>
        <family val="2"/>
      </rPr>
      <t xml:space="preserve">），远高于营收降幅，回款压力显著。</t>
    </r>
  </si>
  <si>
    <r>
      <rPr>
        <sz val="10"/>
        <color rgb="FF000000"/>
        <rFont val="Calibri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毛利率变动：房地产开发与投资业务毛利率从</t>
    </r>
    <r>
      <rPr>
        <sz val="10"/>
        <color rgb="FF000000"/>
        <rFont val="Calibri"/>
        <family val="0"/>
        <charset val="1"/>
      </rPr>
      <t xml:space="preserve">17.3%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libri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）降至</t>
    </r>
    <r>
      <rPr>
        <sz val="10"/>
        <color rgb="FF000000"/>
        <rFont val="Calibri"/>
        <family val="0"/>
        <charset val="1"/>
      </rPr>
      <t xml:space="preserve">14.4%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libri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），下降</t>
    </r>
    <r>
      <rPr>
        <sz val="10"/>
        <color rgb="FF000000"/>
        <rFont val="Calibri"/>
        <family val="0"/>
        <charset val="1"/>
      </rPr>
      <t xml:space="preserve">2.9</t>
    </r>
    <r>
      <rPr>
        <sz val="10"/>
        <color rgb="FF000000"/>
        <rFont val="Noto Sans CJK SC"/>
        <family val="2"/>
      </rPr>
      <t xml:space="preserve">个百分点，需核查成本控制或售价变化。</t>
    </r>
  </si>
  <si>
    <t xml:space="preserve">数据可靠性说明</t>
  </si>
  <si>
    <t xml:space="preserve">• 所有数据均引自年报正文及经审计财务报表附注，无杜撰。</t>
  </si>
  <si>
    <r>
      <rPr>
        <sz val="9"/>
        <color rgb="FF333333"/>
        <rFont val="Calibri"/>
        <family val="0"/>
        <charset val="1"/>
      </rPr>
      <t xml:space="preserve">• 2024</t>
    </r>
    <r>
      <rPr>
        <sz val="9"/>
        <color rgb="FF333333"/>
        <rFont val="Noto Sans CJK SC"/>
        <family val="2"/>
      </rPr>
      <t xml:space="preserve">年数据已采用</t>
    </r>
    <r>
      <rPr>
        <sz val="9"/>
        <color rgb="FF333333"/>
        <rFont val="Calibri"/>
        <family val="0"/>
        <charset val="1"/>
      </rPr>
      <t xml:space="preserve">2025</t>
    </r>
    <r>
      <rPr>
        <sz val="9"/>
        <color rgb="FF333333"/>
        <rFont val="Noto Sans CJK SC"/>
        <family val="2"/>
      </rPr>
      <t xml:space="preserve">年报中的「经重述」口径（因同一控制下企业合并追溯调整），与</t>
    </r>
    <r>
      <rPr>
        <sz val="9"/>
        <color rgb="FF333333"/>
        <rFont val="Calibri"/>
        <family val="0"/>
        <charset val="1"/>
      </rPr>
      <t xml:space="preserve">2024</t>
    </r>
    <r>
      <rPr>
        <sz val="9"/>
        <color rgb="FF333333"/>
        <rFont val="Noto Sans CJK SC"/>
        <family val="2"/>
      </rPr>
      <t xml:space="preserve">年原年报数据略有差异（如总资产、净资产）。</t>
    </r>
  </si>
  <si>
    <t xml:space="preserve">• 未披露指标（如周转天数）已如实标注，可后续根据附注数据自行计算。</t>
  </si>
  <si>
    <r>
      <rPr>
        <sz val="9"/>
        <color rgb="FF333333"/>
        <rFont val="Noto Sans CJK SC"/>
        <family val="2"/>
      </rPr>
      <t xml:space="preserve">• 变动额、变动</t>
    </r>
    <r>
      <rPr>
        <sz val="9"/>
        <color rgb="FF333333"/>
        <rFont val="Calibri"/>
        <family val="0"/>
        <charset val="1"/>
      </rPr>
      <t xml:space="preserve">%</t>
    </r>
    <r>
      <rPr>
        <sz val="9"/>
        <color rgb="FF333333"/>
        <rFont val="Noto Sans CJK SC"/>
        <family val="2"/>
      </rPr>
      <t xml:space="preserve">均由公式自动计算（</t>
    </r>
    <r>
      <rPr>
        <sz val="9"/>
        <color rgb="FF333333"/>
        <rFont val="Calibri"/>
        <family val="0"/>
        <charset val="1"/>
      </rPr>
      <t xml:space="preserve">=2025</t>
    </r>
    <r>
      <rPr>
        <sz val="9"/>
        <color rgb="FF333333"/>
        <rFont val="Noto Sans CJK SC"/>
        <family val="2"/>
      </rPr>
      <t xml:space="preserve">年值</t>
    </r>
    <r>
      <rPr>
        <sz val="9"/>
        <color rgb="FF333333"/>
        <rFont val="Calibri"/>
        <family val="0"/>
        <charset val="1"/>
      </rPr>
      <t xml:space="preserve">-2024</t>
    </r>
    <r>
      <rPr>
        <sz val="9"/>
        <color rgb="FF333333"/>
        <rFont val="Noto Sans CJK SC"/>
        <family val="2"/>
      </rPr>
      <t xml:space="preserve">年值；</t>
    </r>
    <r>
      <rPr>
        <sz val="9"/>
        <color rgb="FF333333"/>
        <rFont val="Calibri"/>
        <family val="0"/>
        <charset val="1"/>
      </rPr>
      <t xml:space="preserve">=</t>
    </r>
    <r>
      <rPr>
        <sz val="9"/>
        <color rgb="FF333333"/>
        <rFont val="Noto Sans CJK SC"/>
        <family val="2"/>
      </rPr>
      <t xml:space="preserve">变动额</t>
    </r>
    <r>
      <rPr>
        <sz val="9"/>
        <color rgb="FF333333"/>
        <rFont val="Calibri"/>
        <family val="0"/>
        <charset val="1"/>
      </rPr>
      <t xml:space="preserve">/2024</t>
    </r>
    <r>
      <rPr>
        <sz val="9"/>
        <color rgb="FF333333"/>
        <rFont val="Noto Sans CJK SC"/>
        <family val="2"/>
      </rPr>
      <t xml:space="preserve">年值），百分点类指标变动以「个百分点」列示。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</si>
</sst>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0.00%"/>
    <numFmt numFmtId="168" formatCode="0.00&quot;个百分点&quot;"/>
    <numFmt numFmtId="169" formatCode="0.0&quot;个百分点&quot;"/>
    <numFmt numFmtId="170" formatCode="#,##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i val="true"/>
      <sz val="10"/>
      <color rgb="FF808080"/>
      <name val="Noto Sans CJK SC"/>
      <family val="2"/>
    </font>
    <font>
      <sz val="10"/>
      <color rgb="FF000000"/>
      <name val="Noto Sans CJK SC"/>
      <family val="2"/>
    </font>
    <font>
      <sz val="9"/>
      <color rgb="FF333333"/>
      <name val="Noto Sans CJK SC"/>
      <family val="2"/>
    </font>
    <font>
      <sz val="9"/>
      <color rgb="FF333333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3B5D"/>
        <bgColor rgb="FF333333"/>
      </patternFill>
    </fill>
    <fill>
      <patternFill patternType="solid">
        <fgColor rgb="FF3288B9"/>
        <bgColor rgb="FF008080"/>
      </patternFill>
    </fill>
    <fill>
      <patternFill patternType="solid">
        <fgColor rgb="FFCFE3F1"/>
        <bgColor rgb="FFCCFFFF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3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B5D"/>
      <rgbColor rgb="FF3288B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3" min="2" style="0" width="19.99"/>
    <col collapsed="false" customWidth="true" hidden="false" outlineLevel="0" max="4" min="4" style="0" width="16"/>
    <col collapsed="false" customWidth="true" hidden="false" outlineLevel="0" max="5" min="5" style="0" width="14.01"/>
    <col collapsed="false" customWidth="true" hidden="false" outlineLevel="0" max="6" min="6" style="0" width="37.99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5" t="s">
        <v>8</v>
      </c>
      <c r="B5" s="6" t="n">
        <v>21873.34</v>
      </c>
      <c r="C5" s="6" t="n">
        <v>20821.42</v>
      </c>
      <c r="D5" s="7" t="n">
        <f aca="false">C5-B5</f>
        <v>-1051.92</v>
      </c>
      <c r="E5" s="8" t="n">
        <f aca="false">IF(B5=0,"-",D5/B5)</f>
        <v>-0.048091420880396</v>
      </c>
      <c r="F5" s="9" t="s">
        <v>9</v>
      </c>
    </row>
    <row r="6" customFormat="false" ht="15" hidden="false" customHeight="false" outlineLevel="0" collapsed="false">
      <c r="A6" s="10" t="s">
        <v>10</v>
      </c>
      <c r="B6" s="7" t="n">
        <v>19717.08</v>
      </c>
      <c r="C6" s="7" t="n">
        <v>18760.59</v>
      </c>
      <c r="D6" s="7" t="n">
        <f aca="false">C6-B6</f>
        <v>-956.490000000002</v>
      </c>
      <c r="E6" s="8" t="n">
        <f aca="false">IF(B6=0,"-",D6/B6)</f>
        <v>-0.0485107328265647</v>
      </c>
      <c r="F6" s="9" t="s">
        <v>11</v>
      </c>
    </row>
    <row r="7" customFormat="false" ht="15" hidden="false" customHeight="false" outlineLevel="0" collapsed="false">
      <c r="A7" s="5" t="s">
        <v>12</v>
      </c>
      <c r="B7" s="6" t="n">
        <v>461.94</v>
      </c>
      <c r="C7" s="6" t="n">
        <v>390.69</v>
      </c>
      <c r="D7" s="7" t="n">
        <f aca="false">C7-B7</f>
        <v>-71.25</v>
      </c>
      <c r="E7" s="8" t="n">
        <f aca="false">IF(B7=0,"-",D7/B7)</f>
        <v>-0.154240810494869</v>
      </c>
      <c r="F7" s="9" t="s">
        <v>13</v>
      </c>
    </row>
    <row r="8" customFormat="false" ht="15" hidden="false" customHeight="false" outlineLevel="0" collapsed="false">
      <c r="A8" s="10" t="s">
        <v>14</v>
      </c>
      <c r="B8" s="11" t="n">
        <v>0.0211</v>
      </c>
      <c r="C8" s="11" t="n">
        <v>0.0188</v>
      </c>
      <c r="D8" s="12" t="n">
        <f aca="false">(C8-B8)*100</f>
        <v>-0.23</v>
      </c>
      <c r="E8" s="13" t="s">
        <v>15</v>
      </c>
      <c r="F8" s="14" t="s">
        <v>16</v>
      </c>
    </row>
    <row r="9" customFormat="false" ht="15" hidden="false" customHeight="false" outlineLevel="0" collapsed="false">
      <c r="A9" s="10" t="s">
        <v>17</v>
      </c>
      <c r="B9" s="11" t="n">
        <v>0.1036</v>
      </c>
      <c r="C9" s="11" t="n">
        <v>0.0815</v>
      </c>
      <c r="D9" s="12" t="n">
        <f aca="false">(C9-B9)*100</f>
        <v>-2.21</v>
      </c>
      <c r="E9" s="13" t="s">
        <v>15</v>
      </c>
      <c r="F9" s="9" t="s">
        <v>13</v>
      </c>
    </row>
    <row r="10" customFormat="false" ht="15" hidden="false" customHeight="false" outlineLevel="0" collapsed="false">
      <c r="A10" s="5" t="s">
        <v>18</v>
      </c>
      <c r="B10" s="6" t="n">
        <v>157.74</v>
      </c>
      <c r="C10" s="6" t="n">
        <v>205.37</v>
      </c>
      <c r="D10" s="7" t="n">
        <f aca="false">C10-B10</f>
        <v>47.63</v>
      </c>
      <c r="E10" s="8" t="n">
        <f aca="false">IF(B10=0,"-",D10/B10)</f>
        <v>0.301952580195258</v>
      </c>
      <c r="F10" s="9" t="s">
        <v>19</v>
      </c>
    </row>
    <row r="11" customFormat="false" ht="15" hidden="false" customHeight="false" outlineLevel="0" collapsed="false">
      <c r="A11" s="10" t="s">
        <v>20</v>
      </c>
      <c r="B11" s="15" t="s">
        <v>21</v>
      </c>
      <c r="C11" s="16" t="s">
        <v>22</v>
      </c>
      <c r="D11" s="17" t="s">
        <v>15</v>
      </c>
      <c r="E11" s="17" t="s">
        <v>15</v>
      </c>
      <c r="F11" s="9" t="s">
        <v>23</v>
      </c>
    </row>
    <row r="13" customFormat="false" ht="24" hidden="false" customHeight="true" outlineLevel="0" collapsed="false">
      <c r="A13" s="2" t="s">
        <v>24</v>
      </c>
      <c r="B13" s="2"/>
      <c r="C13" s="2"/>
      <c r="D13" s="2"/>
      <c r="E13" s="2"/>
      <c r="F13" s="2"/>
    </row>
    <row r="14" customFormat="false" ht="30" hidden="false" customHeight="true" outlineLevel="0" collapsed="false">
      <c r="A14" s="3" t="s">
        <v>2</v>
      </c>
      <c r="B14" s="4" t="s">
        <v>3</v>
      </c>
      <c r="C14" s="4" t="s">
        <v>4</v>
      </c>
      <c r="D14" s="3" t="s">
        <v>5</v>
      </c>
      <c r="E14" s="3" t="s">
        <v>6</v>
      </c>
      <c r="F14" s="3" t="s">
        <v>7</v>
      </c>
    </row>
    <row r="15" customFormat="false" ht="15" hidden="false" customHeight="false" outlineLevel="0" collapsed="false">
      <c r="A15" s="5" t="s">
        <v>25</v>
      </c>
      <c r="B15" s="6" t="n">
        <v>31897.74</v>
      </c>
      <c r="C15" s="6" t="n">
        <v>35606.8</v>
      </c>
      <c r="D15" s="7" t="n">
        <f aca="false">C15-B15</f>
        <v>3709.06</v>
      </c>
      <c r="E15" s="8" t="n">
        <f aca="false">IF(B15=0,"-",D15/B15)</f>
        <v>0.116279711352591</v>
      </c>
      <c r="F15" s="9" t="s">
        <v>13</v>
      </c>
    </row>
    <row r="16" customFormat="false" ht="15" hidden="false" customHeight="false" outlineLevel="0" collapsed="false">
      <c r="A16" s="10" t="s">
        <v>26</v>
      </c>
      <c r="B16" s="7" t="n">
        <v>4624.98</v>
      </c>
      <c r="C16" s="7" t="n">
        <v>4915.56</v>
      </c>
      <c r="D16" s="7" t="n">
        <f aca="false">C16-B16</f>
        <v>290.580000000001</v>
      </c>
      <c r="E16" s="8" t="n">
        <f aca="false">IF(B16=0,"-",D16/B16)</f>
        <v>0.0628283797983993</v>
      </c>
      <c r="F16" s="9" t="s">
        <v>13</v>
      </c>
    </row>
    <row r="17" customFormat="false" ht="15" hidden="false" customHeight="false" outlineLevel="0" collapsed="false">
      <c r="A17" s="5" t="s">
        <v>27</v>
      </c>
      <c r="B17" s="18" t="n">
        <v>0.758</v>
      </c>
      <c r="C17" s="18" t="n">
        <v>0.769</v>
      </c>
      <c r="D17" s="19" t="n">
        <f aca="false">(C17-B17)*100</f>
        <v>1.1</v>
      </c>
      <c r="E17" s="13" t="s">
        <v>15</v>
      </c>
      <c r="F17" s="9" t="s">
        <v>28</v>
      </c>
    </row>
    <row r="18" customFormat="false" ht="15" hidden="false" customHeight="false" outlineLevel="0" collapsed="false">
      <c r="A18" s="10" t="s">
        <v>29</v>
      </c>
      <c r="B18" s="20" t="n">
        <v>8513</v>
      </c>
      <c r="C18" s="20" t="n">
        <v>9302</v>
      </c>
      <c r="D18" s="20" t="n">
        <f aca="false">C18-B18</f>
        <v>789</v>
      </c>
      <c r="E18" s="8" t="n">
        <f aca="false">IF(B18=0,"-",D18/B18)</f>
        <v>0.0926817808058264</v>
      </c>
      <c r="F18" s="9" t="s">
        <v>30</v>
      </c>
    </row>
    <row r="20" customFormat="false" ht="24" hidden="false" customHeight="true" outlineLevel="0" collapsed="false">
      <c r="A20" s="2" t="s">
        <v>31</v>
      </c>
      <c r="B20" s="2"/>
      <c r="C20" s="2"/>
      <c r="D20" s="2"/>
      <c r="E20" s="2"/>
      <c r="F20" s="2"/>
    </row>
    <row r="21" customFormat="false" ht="30" hidden="false" customHeight="true" outlineLevel="0" collapsed="false">
      <c r="A21" s="3" t="s">
        <v>32</v>
      </c>
      <c r="B21" s="4" t="s">
        <v>33</v>
      </c>
      <c r="C21" s="4" t="s">
        <v>34</v>
      </c>
      <c r="D21" s="3" t="s">
        <v>5</v>
      </c>
      <c r="E21" s="3" t="s">
        <v>6</v>
      </c>
      <c r="F21" s="3" t="s">
        <v>35</v>
      </c>
    </row>
    <row r="22" customFormat="false" ht="15" hidden="false" customHeight="false" outlineLevel="0" collapsed="false">
      <c r="A22" s="10" t="s">
        <v>36</v>
      </c>
      <c r="B22" s="7" t="n">
        <v>4244.26</v>
      </c>
      <c r="C22" s="7" t="n">
        <v>4116.7</v>
      </c>
      <c r="D22" s="7" t="n">
        <f aca="false">C22-B22</f>
        <v>-127.56</v>
      </c>
      <c r="E22" s="8" t="n">
        <f aca="false">IF(B22=0,"-",D22/B22)</f>
        <v>-0.0300547091836976</v>
      </c>
      <c r="F22" s="9" t="s">
        <v>37</v>
      </c>
    </row>
    <row r="23" customFormat="false" ht="15" hidden="false" customHeight="false" outlineLevel="0" collapsed="false">
      <c r="A23" s="21" t="s">
        <v>38</v>
      </c>
      <c r="B23" s="22" t="n">
        <v>3171.44</v>
      </c>
      <c r="C23" s="22" t="n">
        <v>4155.59</v>
      </c>
      <c r="D23" s="22" t="n">
        <f aca="false">C23-B23</f>
        <v>984.15</v>
      </c>
      <c r="E23" s="23" t="n">
        <f aca="false">IF(B23=0,"-",D23/B23)</f>
        <v>0.310316449310093</v>
      </c>
      <c r="F23" s="24" t="s">
        <v>39</v>
      </c>
    </row>
    <row r="24" customFormat="false" ht="15" hidden="false" customHeight="false" outlineLevel="0" collapsed="false">
      <c r="A24" s="10" t="s">
        <v>40</v>
      </c>
      <c r="B24" s="7" t="n">
        <v>7721.68</v>
      </c>
      <c r="C24" s="7" t="n">
        <v>8158.66</v>
      </c>
      <c r="D24" s="7" t="n">
        <f aca="false">C24-B24</f>
        <v>436.98</v>
      </c>
      <c r="E24" s="8" t="n">
        <f aca="false">IF(B24=0,"-",D24/B24)</f>
        <v>0.05659131173527</v>
      </c>
      <c r="F24" s="9" t="s">
        <v>41</v>
      </c>
    </row>
    <row r="25" customFormat="false" ht="15" hidden="false" customHeight="false" outlineLevel="0" collapsed="false">
      <c r="A25" s="10" t="s">
        <v>42</v>
      </c>
      <c r="B25" s="7" t="n">
        <v>533.92</v>
      </c>
      <c r="C25" s="7" t="n">
        <v>535.11</v>
      </c>
      <c r="D25" s="7" t="n">
        <f aca="false">C25-B25</f>
        <v>1.19000000000005</v>
      </c>
      <c r="E25" s="8" t="n">
        <f aca="false">IF(B25=0,"-",D25/B25)</f>
        <v>0.00222879832184607</v>
      </c>
      <c r="F25" s="9" t="s">
        <v>43</v>
      </c>
    </row>
    <row r="26" customFormat="false" ht="15" hidden="false" customHeight="false" outlineLevel="0" collapsed="false">
      <c r="A26" s="10" t="s">
        <v>44</v>
      </c>
      <c r="B26" s="7" t="n">
        <v>1157.46</v>
      </c>
      <c r="C26" s="7" t="n">
        <v>1702.46</v>
      </c>
      <c r="D26" s="7" t="n">
        <f aca="false">C26-B26</f>
        <v>545</v>
      </c>
      <c r="E26" s="8" t="n">
        <f aca="false">IF(B26=0,"-",D26/B26)</f>
        <v>0.470858604185026</v>
      </c>
      <c r="F26" s="9" t="s">
        <v>45</v>
      </c>
    </row>
    <row r="27" customFormat="false" ht="15" hidden="false" customHeight="false" outlineLevel="0" collapsed="false">
      <c r="A27" s="10" t="s">
        <v>46</v>
      </c>
      <c r="B27" s="7" t="n">
        <v>5242.72</v>
      </c>
      <c r="C27" s="7" t="n">
        <v>5264.72</v>
      </c>
      <c r="D27" s="7" t="n">
        <f aca="false">C27-B27</f>
        <v>22</v>
      </c>
      <c r="E27" s="8" t="n">
        <f aca="false">IF(B27=0,"-",D27/B27)</f>
        <v>0.00419629505294961</v>
      </c>
      <c r="F27" s="9" t="s">
        <v>47</v>
      </c>
    </row>
    <row r="28" customFormat="false" ht="15" hidden="false" customHeight="false" outlineLevel="0" collapsed="false">
      <c r="A28" s="10" t="s">
        <v>48</v>
      </c>
      <c r="B28" s="7" t="n">
        <v>1166.17</v>
      </c>
      <c r="C28" s="7" t="n">
        <v>1336.97</v>
      </c>
      <c r="D28" s="7" t="n">
        <f aca="false">C28-B28</f>
        <v>170.8</v>
      </c>
      <c r="E28" s="8" t="n">
        <f aca="false">IF(B28=0,"-",D28/B28)</f>
        <v>0.146462351115189</v>
      </c>
      <c r="F28" s="9" t="s">
        <v>49</v>
      </c>
    </row>
    <row r="30" customFormat="false" ht="24" hidden="false" customHeight="true" outlineLevel="0" collapsed="false">
      <c r="A30" s="2" t="s">
        <v>50</v>
      </c>
      <c r="B30" s="2"/>
      <c r="C30" s="2"/>
      <c r="D30" s="2"/>
      <c r="E30" s="2"/>
      <c r="F30" s="2"/>
    </row>
    <row r="31" customFormat="false" ht="30" hidden="false" customHeight="true" outlineLevel="0" collapsed="false">
      <c r="A31" s="3" t="s">
        <v>2</v>
      </c>
      <c r="B31" s="4" t="s">
        <v>51</v>
      </c>
      <c r="C31" s="4" t="s">
        <v>4</v>
      </c>
      <c r="D31" s="3" t="s">
        <v>52</v>
      </c>
      <c r="E31" s="3"/>
      <c r="F31" s="3" t="s">
        <v>53</v>
      </c>
    </row>
    <row r="32" customFormat="false" ht="15" hidden="false" customHeight="true" outlineLevel="0" collapsed="false">
      <c r="A32" s="10" t="s">
        <v>54</v>
      </c>
      <c r="B32" s="8" t="n">
        <v>0.021</v>
      </c>
      <c r="C32" s="8" t="n">
        <v>0.021</v>
      </c>
      <c r="D32" s="25" t="s">
        <v>55</v>
      </c>
      <c r="E32" s="25"/>
      <c r="F32" s="9" t="s">
        <v>56</v>
      </c>
    </row>
    <row r="33" customFormat="false" ht="15" hidden="false" customHeight="true" outlineLevel="0" collapsed="false">
      <c r="A33" s="10" t="s">
        <v>57</v>
      </c>
      <c r="B33" s="25" t="s">
        <v>58</v>
      </c>
      <c r="C33" s="25" t="s">
        <v>58</v>
      </c>
      <c r="D33" s="17" t="s">
        <v>15</v>
      </c>
      <c r="E33" s="17"/>
      <c r="F33" s="14" t="s">
        <v>59</v>
      </c>
    </row>
    <row r="34" customFormat="false" ht="15" hidden="false" customHeight="true" outlineLevel="0" collapsed="false">
      <c r="A34" s="10" t="s">
        <v>60</v>
      </c>
      <c r="B34" s="25" t="s">
        <v>58</v>
      </c>
      <c r="C34" s="25" t="s">
        <v>58</v>
      </c>
      <c r="D34" s="17" t="s">
        <v>15</v>
      </c>
      <c r="E34" s="17"/>
      <c r="F34" s="14" t="s">
        <v>59</v>
      </c>
    </row>
    <row r="35" customFormat="false" ht="15" hidden="false" customHeight="true" outlineLevel="0" collapsed="false">
      <c r="A35" s="10" t="s">
        <v>61</v>
      </c>
      <c r="B35" s="20" t="n">
        <v>45027</v>
      </c>
      <c r="C35" s="20" t="n">
        <v>45458</v>
      </c>
      <c r="D35" s="17" t="s">
        <v>62</v>
      </c>
      <c r="E35" s="17"/>
      <c r="F35" s="9" t="s">
        <v>63</v>
      </c>
    </row>
    <row r="37" customFormat="false" ht="24" hidden="false" customHeight="true" outlineLevel="0" collapsed="false">
      <c r="A37" s="2" t="s">
        <v>64</v>
      </c>
      <c r="B37" s="2"/>
      <c r="C37" s="2"/>
      <c r="D37" s="2"/>
      <c r="E37" s="2"/>
      <c r="F37" s="2"/>
    </row>
    <row r="38" customFormat="false" ht="42" hidden="false" customHeight="true" outlineLevel="0" collapsed="false">
      <c r="A38" s="26" t="s">
        <v>65</v>
      </c>
      <c r="B38" s="26"/>
      <c r="C38" s="26"/>
      <c r="D38" s="26"/>
      <c r="E38" s="26"/>
      <c r="F38" s="26"/>
    </row>
    <row r="39" customFormat="false" ht="42" hidden="false" customHeight="true" outlineLevel="0" collapsed="false">
      <c r="A39" s="26" t="s">
        <v>66</v>
      </c>
      <c r="B39" s="26"/>
      <c r="C39" s="26"/>
      <c r="D39" s="26"/>
      <c r="E39" s="26"/>
      <c r="F39" s="26"/>
    </row>
    <row r="40" customFormat="false" ht="42" hidden="false" customHeight="true" outlineLevel="0" collapsed="false">
      <c r="A40" s="26" t="s">
        <v>67</v>
      </c>
      <c r="B40" s="26"/>
      <c r="C40" s="26"/>
      <c r="D40" s="26"/>
      <c r="E40" s="26"/>
      <c r="F40" s="26"/>
    </row>
    <row r="41" customFormat="false" ht="42" hidden="false" customHeight="true" outlineLevel="0" collapsed="false">
      <c r="A41" s="26" t="s">
        <v>68</v>
      </c>
      <c r="B41" s="26"/>
      <c r="C41" s="26"/>
      <c r="D41" s="26"/>
      <c r="E41" s="26"/>
      <c r="F41" s="26"/>
    </row>
    <row r="43" customFormat="false" ht="24" hidden="false" customHeight="true" outlineLevel="0" collapsed="false">
      <c r="A43" s="2" t="s">
        <v>69</v>
      </c>
      <c r="B43" s="2"/>
      <c r="C43" s="2"/>
      <c r="D43" s="2"/>
      <c r="E43" s="2"/>
      <c r="F43" s="2"/>
    </row>
    <row r="44" customFormat="false" ht="27.75" hidden="false" customHeight="true" outlineLevel="0" collapsed="false">
      <c r="A44" s="27" t="s">
        <v>70</v>
      </c>
      <c r="B44" s="27"/>
      <c r="C44" s="27"/>
      <c r="D44" s="27"/>
      <c r="E44" s="27"/>
      <c r="F44" s="27"/>
    </row>
    <row r="45" customFormat="false" ht="27.75" hidden="false" customHeight="true" outlineLevel="0" collapsed="false">
      <c r="A45" s="28" t="s">
        <v>71</v>
      </c>
      <c r="B45" s="28"/>
      <c r="C45" s="28"/>
      <c r="D45" s="28"/>
      <c r="E45" s="28"/>
      <c r="F45" s="28"/>
    </row>
    <row r="46" customFormat="false" ht="27.75" hidden="false" customHeight="true" outlineLevel="0" collapsed="false">
      <c r="A46" s="27" t="s">
        <v>72</v>
      </c>
      <c r="B46" s="27"/>
      <c r="C46" s="27"/>
      <c r="D46" s="27"/>
      <c r="E46" s="27"/>
      <c r="F46" s="27"/>
    </row>
    <row r="47" customFormat="false" ht="27.75" hidden="false" customHeight="true" outlineLevel="0" collapsed="false">
      <c r="A47" s="27" t="s">
        <v>73</v>
      </c>
      <c r="B47" s="27"/>
      <c r="C47" s="27"/>
      <c r="D47" s="27"/>
      <c r="E47" s="27"/>
      <c r="F47" s="27"/>
    </row>
  </sheetData>
  <mergeCells count="19">
    <mergeCell ref="A1:F1"/>
    <mergeCell ref="A3:F3"/>
    <mergeCell ref="A13:F13"/>
    <mergeCell ref="A20:F20"/>
    <mergeCell ref="A30:F30"/>
    <mergeCell ref="D32:E32"/>
    <mergeCell ref="D33:E33"/>
    <mergeCell ref="D34:E34"/>
    <mergeCell ref="D35:E35"/>
    <mergeCell ref="A37:F37"/>
    <mergeCell ref="A38:F38"/>
    <mergeCell ref="A39:F39"/>
    <mergeCell ref="A40:F40"/>
    <mergeCell ref="A41:F41"/>
    <mergeCell ref="A43:F43"/>
    <mergeCell ref="A44:F44"/>
    <mergeCell ref="A45:F45"/>
    <mergeCell ref="A46:F46"/>
    <mergeCell ref="A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2026-08-17T07:36:32Z</dcterms:created>
  <dc:creator>openpyxl</dc:creator>
  <dc:description/>
  <dc:language>en-US</dc:language>
  <cp:lastModifiedBy/>
  <dcterms:modified xsi:type="dcterms:W3CDTF">2026-08-17T07:36:32Z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